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a326c47f890e78b/سطح المكتب/"/>
    </mc:Choice>
  </mc:AlternateContent>
  <xr:revisionPtr revIDLastSave="0" documentId="13_ncr:8001_{7AF2B5E2-CFDF-441E-BDB9-D6996FDD86E5}" xr6:coauthVersionLast="47" xr6:coauthVersionMax="47" xr10:uidLastSave="{00000000-0000-0000-0000-000000000000}"/>
  <bookViews>
    <workbookView xWindow="-110" yWindow="-110" windowWidth="19420" windowHeight="10300" tabRatio="894" firstSheet="1" activeTab="4" xr2:uid="{00000000-000D-0000-FFFF-FFFF00000000}"/>
  </bookViews>
  <sheets>
    <sheet name="الحضور والانصراف (2)" sheetId="9" state="hidden" r:id="rId1"/>
    <sheet name="القوة حسب المسمى " sheetId="420" r:id="rId2"/>
    <sheet name="توزيعات القوة" sheetId="175" r:id="rId3"/>
    <sheet name="تنبيه_العقود" sheetId="418" r:id="rId4"/>
    <sheet name="السجل" sheetId="4" r:id="rId5"/>
    <sheet name="الرئيسية" sheetId="40" r:id="rId6"/>
    <sheet name="الحذف" sheetId="68" r:id="rId7"/>
    <sheet name="التوزيعات بالعمل" sheetId="11" r:id="rId8"/>
    <sheet name="التوزيعات" sheetId="5" r:id="rId9"/>
    <sheet name="متابعة الاجازات" sheetId="30" r:id="rId10"/>
  </sheets>
  <definedNames>
    <definedName name="_xlnm._FilterDatabase" localSheetId="0" hidden="1">'الحضور والانصراف (2)'!$A$5:$O$204</definedName>
    <definedName name="_xlnm._FilterDatabase" localSheetId="4" hidden="1">السجل!$A$2:$AG$131</definedName>
    <definedName name="_xlnm._FilterDatabase" localSheetId="1" hidden="1">'القوة حسب المسمى '!$A$2:$AE$129</definedName>
    <definedName name="BUDGET_Title">#REF!</definedName>
    <definedName name="ColumnTitle1">#REF!</definedName>
    <definedName name="COMPANY_NAME">#REF!</definedName>
    <definedName name="Data01">#REF!</definedName>
    <definedName name="Days_Def">#REF!</definedName>
    <definedName name="Ded_Day">#REF!</definedName>
    <definedName name="NativeTimeline_تاريخ_المخالفة">#N/A</definedName>
    <definedName name="_xlnm.Print_Area" localSheetId="8">التوزيعات!$A$1:$G$36</definedName>
    <definedName name="_xlnm.Print_Area" localSheetId="7">'التوزيعات بالعمل'!$B$2:$G$60</definedName>
    <definedName name="_xlnm.Print_Area" localSheetId="0">'الحضور والانصراف (2)'!$C$1:$H$204</definedName>
    <definedName name="_xlnm.Print_Area" localSheetId="4">السجل!$A$2:$XBF$121</definedName>
    <definedName name="_xlnm.Print_Area" localSheetId="2">'توزيعات القوة'!$A$1:$H$14</definedName>
    <definedName name="_xlnm.Print_Area" localSheetId="9">'متابعة الاجازات'!$A$1:$H$64</definedName>
    <definedName name="Table_B">#REF!</definedName>
    <definedName name="Title1">#REF!</definedName>
    <definedName name="Title2">#REF!</definedName>
    <definedName name="Title3">#REF!</definedName>
    <definedName name="Title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80" i="4" l="1"/>
  <c r="AG81" i="4"/>
  <c r="AG82" i="4"/>
  <c r="AG83" i="4"/>
  <c r="AG84" i="4"/>
  <c r="AG54" i="4"/>
  <c r="AG55" i="4"/>
  <c r="AG56" i="4"/>
  <c r="AG57" i="4"/>
  <c r="AG58" i="4"/>
  <c r="AG59" i="4"/>
  <c r="AG60" i="4"/>
  <c r="AG61" i="4"/>
  <c r="AG62" i="4"/>
  <c r="AG63" i="4"/>
  <c r="AG64" i="4"/>
  <c r="AG120" i="4"/>
  <c r="AG121" i="4"/>
  <c r="AG122" i="4"/>
  <c r="AG123" i="4"/>
  <c r="AG125" i="4"/>
  <c r="AG126" i="4"/>
  <c r="AG127" i="4"/>
  <c r="AG128" i="4"/>
  <c r="AG129" i="4"/>
  <c r="AG130" i="4"/>
  <c r="AG131" i="4"/>
  <c r="AG3" i="4"/>
  <c r="F29" i="11"/>
  <c r="F30" i="11"/>
  <c r="E29" i="11"/>
  <c r="D30" i="11"/>
  <c r="D29" i="11"/>
  <c r="F23" i="5"/>
  <c r="E23" i="5"/>
  <c r="D23" i="5"/>
  <c r="D4" i="5"/>
  <c r="D5" i="5"/>
  <c r="F5" i="5"/>
  <c r="E5" i="5"/>
  <c r="E4" i="5"/>
  <c r="U126" i="4"/>
  <c r="U127" i="4"/>
  <c r="U128" i="4"/>
  <c r="U130" i="4"/>
  <c r="S130" i="4"/>
  <c r="U129" i="4"/>
  <c r="S129" i="4"/>
  <c r="AE129" i="420"/>
  <c r="X129" i="420"/>
  <c r="W129" i="420"/>
  <c r="U129" i="420"/>
  <c r="U128" i="420"/>
  <c r="U127" i="420"/>
  <c r="U126" i="420"/>
  <c r="AE125" i="420"/>
  <c r="X125" i="420"/>
  <c r="U125" i="420"/>
  <c r="V125" i="420" s="1"/>
  <c r="W125" i="420" s="1"/>
  <c r="X124" i="420"/>
  <c r="U124" i="420"/>
  <c r="V124" i="420" s="1"/>
  <c r="R124" i="420"/>
  <c r="X123" i="420"/>
  <c r="U123" i="420"/>
  <c r="V123" i="420" s="1"/>
  <c r="R123" i="420"/>
  <c r="X122" i="420"/>
  <c r="U122" i="420"/>
  <c r="V122" i="420" s="1"/>
  <c r="R122" i="420"/>
  <c r="X121" i="420"/>
  <c r="U121" i="420"/>
  <c r="V121" i="420" s="1"/>
  <c r="R121" i="420"/>
  <c r="X120" i="420"/>
  <c r="V120" i="420"/>
  <c r="AE120" i="420" s="1"/>
  <c r="U120" i="420"/>
  <c r="R120" i="420"/>
  <c r="X119" i="420"/>
  <c r="U119" i="420"/>
  <c r="V119" i="420" s="1"/>
  <c r="W119" i="420" s="1"/>
  <c r="R119" i="420"/>
  <c r="X118" i="420"/>
  <c r="U118" i="420"/>
  <c r="V118" i="420" s="1"/>
  <c r="R118" i="420"/>
  <c r="X117" i="420"/>
  <c r="U117" i="420"/>
  <c r="V117" i="420" s="1"/>
  <c r="W117" i="420" s="1"/>
  <c r="R117" i="420"/>
  <c r="X116" i="420"/>
  <c r="V116" i="420"/>
  <c r="W116" i="420" s="1"/>
  <c r="U116" i="420"/>
  <c r="R116" i="420"/>
  <c r="X115" i="420"/>
  <c r="U115" i="420"/>
  <c r="V115" i="420" s="1"/>
  <c r="R115" i="420"/>
  <c r="X114" i="420"/>
  <c r="U114" i="420"/>
  <c r="V114" i="420" s="1"/>
  <c r="R114" i="420"/>
  <c r="AE113" i="420"/>
  <c r="X113" i="420"/>
  <c r="U113" i="420"/>
  <c r="V113" i="420" s="1"/>
  <c r="W113" i="420" s="1"/>
  <c r="R113" i="420"/>
  <c r="X112" i="420"/>
  <c r="U112" i="420"/>
  <c r="V112" i="420" s="1"/>
  <c r="AE112" i="420" s="1"/>
  <c r="R112" i="420"/>
  <c r="X111" i="420"/>
  <c r="U111" i="420"/>
  <c r="V111" i="420" s="1"/>
  <c r="R111" i="420"/>
  <c r="X110" i="420"/>
  <c r="U110" i="420"/>
  <c r="V110" i="420" s="1"/>
  <c r="AE110" i="420" s="1"/>
  <c r="R110" i="420"/>
  <c r="X109" i="420"/>
  <c r="U109" i="420"/>
  <c r="V109" i="420" s="1"/>
  <c r="W109" i="420" s="1"/>
  <c r="R109" i="420"/>
  <c r="X108" i="420"/>
  <c r="U108" i="420"/>
  <c r="V108" i="420" s="1"/>
  <c r="R108" i="420"/>
  <c r="X107" i="420"/>
  <c r="U107" i="420"/>
  <c r="V107" i="420" s="1"/>
  <c r="AE107" i="420" s="1"/>
  <c r="R107" i="420"/>
  <c r="X106" i="420"/>
  <c r="U106" i="420"/>
  <c r="V106" i="420" s="1"/>
  <c r="R106" i="420"/>
  <c r="X105" i="420"/>
  <c r="U105" i="420"/>
  <c r="V105" i="420" s="1"/>
  <c r="W105" i="420" s="1"/>
  <c r="R105" i="420"/>
  <c r="X104" i="420"/>
  <c r="V104" i="420"/>
  <c r="AE104" i="420" s="1"/>
  <c r="U104" i="420"/>
  <c r="R104" i="420"/>
  <c r="X103" i="420"/>
  <c r="U103" i="420"/>
  <c r="V103" i="420" s="1"/>
  <c r="R103" i="420"/>
  <c r="X102" i="420"/>
  <c r="U102" i="420"/>
  <c r="V102" i="420" s="1"/>
  <c r="R102" i="420"/>
  <c r="X101" i="420"/>
  <c r="U101" i="420"/>
  <c r="V101" i="420" s="1"/>
  <c r="R101" i="420"/>
  <c r="X100" i="420"/>
  <c r="U100" i="420"/>
  <c r="V100" i="420" s="1"/>
  <c r="AE100" i="420" s="1"/>
  <c r="R100" i="420"/>
  <c r="AE99" i="420"/>
  <c r="X99" i="420"/>
  <c r="U99" i="420"/>
  <c r="V99" i="420" s="1"/>
  <c r="W99" i="420" s="1"/>
  <c r="R99" i="420"/>
  <c r="X98" i="420"/>
  <c r="U98" i="420"/>
  <c r="V98" i="420" s="1"/>
  <c r="AE98" i="420" s="1"/>
  <c r="R98" i="420"/>
  <c r="X97" i="420"/>
  <c r="U97" i="420"/>
  <c r="V97" i="420" s="1"/>
  <c r="W97" i="420" s="1"/>
  <c r="R97" i="420"/>
  <c r="X96" i="420"/>
  <c r="U96" i="420"/>
  <c r="V96" i="420" s="1"/>
  <c r="R96" i="420"/>
  <c r="X95" i="420"/>
  <c r="V95" i="420"/>
  <c r="AE95" i="420" s="1"/>
  <c r="U95" i="420"/>
  <c r="R95" i="420"/>
  <c r="X94" i="420"/>
  <c r="U94" i="420"/>
  <c r="V94" i="420" s="1"/>
  <c r="R94" i="420"/>
  <c r="AE93" i="420"/>
  <c r="X93" i="420"/>
  <c r="U93" i="420"/>
  <c r="V93" i="420" s="1"/>
  <c r="W93" i="420" s="1"/>
  <c r="R93" i="420"/>
  <c r="X92" i="420"/>
  <c r="U92" i="420"/>
  <c r="V92" i="420" s="1"/>
  <c r="R92" i="420"/>
  <c r="X91" i="420"/>
  <c r="U91" i="420"/>
  <c r="V91" i="420" s="1"/>
  <c r="R91" i="420"/>
  <c r="X90" i="420"/>
  <c r="U90" i="420"/>
  <c r="V90" i="420" s="1"/>
  <c r="R90" i="420"/>
  <c r="X89" i="420"/>
  <c r="U89" i="420"/>
  <c r="V89" i="420" s="1"/>
  <c r="R89" i="420"/>
  <c r="X88" i="420"/>
  <c r="V88" i="420"/>
  <c r="AE88" i="420" s="1"/>
  <c r="U88" i="420"/>
  <c r="R88" i="420"/>
  <c r="X87" i="420"/>
  <c r="U87" i="420"/>
  <c r="V87" i="420" s="1"/>
  <c r="W87" i="420" s="1"/>
  <c r="R87" i="420"/>
  <c r="X86" i="420"/>
  <c r="U86" i="420"/>
  <c r="V86" i="420" s="1"/>
  <c r="R86" i="420"/>
  <c r="X85" i="420"/>
  <c r="U85" i="420"/>
  <c r="V85" i="420" s="1"/>
  <c r="W85" i="420" s="1"/>
  <c r="R85" i="420"/>
  <c r="X84" i="420"/>
  <c r="U84" i="420"/>
  <c r="V84" i="420" s="1"/>
  <c r="R84" i="420"/>
  <c r="X83" i="420"/>
  <c r="U83" i="420"/>
  <c r="V83" i="420" s="1"/>
  <c r="R83" i="420"/>
  <c r="X82" i="420"/>
  <c r="U82" i="420"/>
  <c r="V82" i="420" s="1"/>
  <c r="R82" i="420"/>
  <c r="AE81" i="420"/>
  <c r="X81" i="420"/>
  <c r="U81" i="420"/>
  <c r="V81" i="420" s="1"/>
  <c r="W81" i="420" s="1"/>
  <c r="R81" i="420"/>
  <c r="X80" i="420"/>
  <c r="V80" i="420"/>
  <c r="AE80" i="420" s="1"/>
  <c r="U80" i="420"/>
  <c r="R80" i="420"/>
  <c r="X79" i="420"/>
  <c r="U79" i="420"/>
  <c r="V79" i="420" s="1"/>
  <c r="R79" i="420"/>
  <c r="X78" i="420"/>
  <c r="U78" i="420"/>
  <c r="V78" i="420" s="1"/>
  <c r="AE78" i="420" s="1"/>
  <c r="R78" i="420"/>
  <c r="X77" i="420"/>
  <c r="U77" i="420"/>
  <c r="V77" i="420" s="1"/>
  <c r="W77" i="420" s="1"/>
  <c r="R77" i="420"/>
  <c r="X76" i="420"/>
  <c r="U76" i="420"/>
  <c r="V76" i="420" s="1"/>
  <c r="R76" i="420"/>
  <c r="X75" i="420"/>
  <c r="U75" i="420"/>
  <c r="V75" i="420" s="1"/>
  <c r="AE75" i="420" s="1"/>
  <c r="R75" i="420"/>
  <c r="X74" i="420"/>
  <c r="U74" i="420"/>
  <c r="V74" i="420" s="1"/>
  <c r="R74" i="420"/>
  <c r="X73" i="420"/>
  <c r="U73" i="420"/>
  <c r="V73" i="420" s="1"/>
  <c r="W73" i="420" s="1"/>
  <c r="R73" i="420"/>
  <c r="X72" i="420"/>
  <c r="V72" i="420"/>
  <c r="AE72" i="420" s="1"/>
  <c r="U72" i="420"/>
  <c r="R72" i="420"/>
  <c r="X71" i="420"/>
  <c r="U71" i="420"/>
  <c r="V71" i="420" s="1"/>
  <c r="R71" i="420"/>
  <c r="X70" i="420"/>
  <c r="U70" i="420"/>
  <c r="V70" i="420" s="1"/>
  <c r="R70" i="420"/>
  <c r="X69" i="420"/>
  <c r="U69" i="420"/>
  <c r="V69" i="420" s="1"/>
  <c r="W69" i="420" s="1"/>
  <c r="R69" i="420"/>
  <c r="X68" i="420"/>
  <c r="V68" i="420"/>
  <c r="AE68" i="420" s="1"/>
  <c r="U68" i="420"/>
  <c r="R68" i="420"/>
  <c r="X67" i="420"/>
  <c r="U67" i="420"/>
  <c r="V67" i="420" s="1"/>
  <c r="W67" i="420" s="1"/>
  <c r="R67" i="420"/>
  <c r="X66" i="420"/>
  <c r="U66" i="420"/>
  <c r="V66" i="420" s="1"/>
  <c r="AE66" i="420" s="1"/>
  <c r="R66" i="420"/>
  <c r="X65" i="420"/>
  <c r="U65" i="420"/>
  <c r="V65" i="420" s="1"/>
  <c r="W65" i="420" s="1"/>
  <c r="R65" i="420"/>
  <c r="X64" i="420"/>
  <c r="U64" i="420"/>
  <c r="V64" i="420" s="1"/>
  <c r="R64" i="420"/>
  <c r="X63" i="420"/>
  <c r="V63" i="420"/>
  <c r="AE63" i="420" s="1"/>
  <c r="U63" i="420"/>
  <c r="R63" i="420"/>
  <c r="X62" i="420"/>
  <c r="U62" i="420"/>
  <c r="V62" i="420" s="1"/>
  <c r="R62" i="420"/>
  <c r="X61" i="420"/>
  <c r="U61" i="420"/>
  <c r="V61" i="420" s="1"/>
  <c r="W61" i="420" s="1"/>
  <c r="R61" i="420"/>
  <c r="X60" i="420"/>
  <c r="U60" i="420"/>
  <c r="V60" i="420" s="1"/>
  <c r="R60" i="420"/>
  <c r="X59" i="420"/>
  <c r="U59" i="420"/>
  <c r="V59" i="420" s="1"/>
  <c r="R59" i="420"/>
  <c r="X58" i="420"/>
  <c r="U58" i="420"/>
  <c r="V58" i="420" s="1"/>
  <c r="R58" i="420"/>
  <c r="X57" i="420"/>
  <c r="U57" i="420"/>
  <c r="V57" i="420" s="1"/>
  <c r="R57" i="420"/>
  <c r="X56" i="420"/>
  <c r="U56" i="420"/>
  <c r="V56" i="420" s="1"/>
  <c r="AE56" i="420" s="1"/>
  <c r="R56" i="420"/>
  <c r="X55" i="420"/>
  <c r="U55" i="420"/>
  <c r="V55" i="420" s="1"/>
  <c r="W55" i="420" s="1"/>
  <c r="R55" i="420"/>
  <c r="X54" i="420"/>
  <c r="U54" i="420"/>
  <c r="V54" i="420" s="1"/>
  <c r="R54" i="420"/>
  <c r="X53" i="420"/>
  <c r="U53" i="420"/>
  <c r="V53" i="420" s="1"/>
  <c r="W53" i="420" s="1"/>
  <c r="R53" i="420"/>
  <c r="AE52" i="420"/>
  <c r="X52" i="420"/>
  <c r="V52" i="420"/>
  <c r="W52" i="420" s="1"/>
  <c r="U52" i="420"/>
  <c r="R52" i="420"/>
  <c r="X51" i="420"/>
  <c r="U51" i="420"/>
  <c r="V51" i="420" s="1"/>
  <c r="R51" i="420"/>
  <c r="X50" i="420"/>
  <c r="U50" i="420"/>
  <c r="V50" i="420" s="1"/>
  <c r="R50" i="420"/>
  <c r="X49" i="420"/>
  <c r="U49" i="420"/>
  <c r="V49" i="420" s="1"/>
  <c r="W49" i="420" s="1"/>
  <c r="R49" i="420"/>
  <c r="X48" i="420"/>
  <c r="V48" i="420"/>
  <c r="U48" i="420"/>
  <c r="R48" i="420"/>
  <c r="X47" i="420"/>
  <c r="U47" i="420"/>
  <c r="V47" i="420" s="1"/>
  <c r="R47" i="420"/>
  <c r="X46" i="420"/>
  <c r="U46" i="420"/>
  <c r="V46" i="420" s="1"/>
  <c r="AE46" i="420" s="1"/>
  <c r="R46" i="420"/>
  <c r="X45" i="420"/>
  <c r="U45" i="420"/>
  <c r="V45" i="420" s="1"/>
  <c r="R45" i="420"/>
  <c r="X44" i="420"/>
  <c r="U44" i="420"/>
  <c r="V44" i="420" s="1"/>
  <c r="R44" i="420"/>
  <c r="X43" i="420"/>
  <c r="U43" i="420"/>
  <c r="V43" i="420" s="1"/>
  <c r="AE43" i="420" s="1"/>
  <c r="R43" i="420"/>
  <c r="X42" i="420"/>
  <c r="U42" i="420"/>
  <c r="V42" i="420" s="1"/>
  <c r="R42" i="420"/>
  <c r="X41" i="420"/>
  <c r="U41" i="420"/>
  <c r="V41" i="420" s="1"/>
  <c r="W41" i="420" s="1"/>
  <c r="R41" i="420"/>
  <c r="X40" i="420"/>
  <c r="U40" i="420"/>
  <c r="V40" i="420" s="1"/>
  <c r="AE40" i="420" s="1"/>
  <c r="R40" i="420"/>
  <c r="X39" i="420"/>
  <c r="U39" i="420"/>
  <c r="V39" i="420" s="1"/>
  <c r="R39" i="420"/>
  <c r="X38" i="420"/>
  <c r="U38" i="420"/>
  <c r="V38" i="420" s="1"/>
  <c r="R38" i="420"/>
  <c r="X37" i="420"/>
  <c r="U37" i="420"/>
  <c r="V37" i="420" s="1"/>
  <c r="W37" i="420" s="1"/>
  <c r="R37" i="420"/>
  <c r="X36" i="420"/>
  <c r="U36" i="420"/>
  <c r="V36" i="420" s="1"/>
  <c r="AE36" i="420" s="1"/>
  <c r="R36" i="420"/>
  <c r="X35" i="420"/>
  <c r="U35" i="420"/>
  <c r="V35" i="420" s="1"/>
  <c r="W35" i="420" s="1"/>
  <c r="R35" i="420"/>
  <c r="X34" i="420"/>
  <c r="V34" i="420"/>
  <c r="AE34" i="420" s="1"/>
  <c r="U34" i="420"/>
  <c r="R34" i="420"/>
  <c r="X33" i="420"/>
  <c r="U33" i="420"/>
  <c r="V33" i="420" s="1"/>
  <c r="W33" i="420" s="1"/>
  <c r="R33" i="420"/>
  <c r="AE32" i="420"/>
  <c r="X32" i="420"/>
  <c r="V32" i="420"/>
  <c r="W32" i="420" s="1"/>
  <c r="U32" i="420"/>
  <c r="R32" i="420"/>
  <c r="X31" i="420"/>
  <c r="U31" i="420"/>
  <c r="V31" i="420" s="1"/>
  <c r="AE31" i="420" s="1"/>
  <c r="R31" i="420"/>
  <c r="X30" i="420"/>
  <c r="U30" i="420"/>
  <c r="V30" i="420" s="1"/>
  <c r="R30" i="420"/>
  <c r="AE29" i="420"/>
  <c r="X29" i="420"/>
  <c r="U29" i="420"/>
  <c r="V29" i="420" s="1"/>
  <c r="W29" i="420" s="1"/>
  <c r="R29" i="420"/>
  <c r="X28" i="420"/>
  <c r="W28" i="420"/>
  <c r="V28" i="420"/>
  <c r="AE28" i="420" s="1"/>
  <c r="U28" i="420"/>
  <c r="R28" i="420"/>
  <c r="X27" i="420"/>
  <c r="U27" i="420"/>
  <c r="V27" i="420" s="1"/>
  <c r="R27" i="420"/>
  <c r="X26" i="420"/>
  <c r="U26" i="420"/>
  <c r="V26" i="420" s="1"/>
  <c r="R26" i="420"/>
  <c r="X25" i="420"/>
  <c r="U25" i="420"/>
  <c r="V25" i="420" s="1"/>
  <c r="R25" i="420"/>
  <c r="X24" i="420"/>
  <c r="U24" i="420"/>
  <c r="V24" i="420" s="1"/>
  <c r="AE24" i="420" s="1"/>
  <c r="R24" i="420"/>
  <c r="X23" i="420"/>
  <c r="U23" i="420"/>
  <c r="V23" i="420" s="1"/>
  <c r="W23" i="420" s="1"/>
  <c r="R23" i="420"/>
  <c r="X22" i="420"/>
  <c r="U22" i="420"/>
  <c r="V22" i="420" s="1"/>
  <c r="R22" i="420"/>
  <c r="X21" i="420"/>
  <c r="U21" i="420"/>
  <c r="V21" i="420" s="1"/>
  <c r="W21" i="420" s="1"/>
  <c r="R21" i="420"/>
  <c r="X20" i="420"/>
  <c r="W20" i="420"/>
  <c r="V20" i="420"/>
  <c r="AE20" i="420" s="1"/>
  <c r="U20" i="420"/>
  <c r="R20" i="420"/>
  <c r="X19" i="420"/>
  <c r="U19" i="420"/>
  <c r="V19" i="420" s="1"/>
  <c r="R19" i="420"/>
  <c r="X18" i="420"/>
  <c r="U18" i="420"/>
  <c r="V18" i="420" s="1"/>
  <c r="R18" i="420"/>
  <c r="X17" i="420"/>
  <c r="U17" i="420"/>
  <c r="V17" i="420" s="1"/>
  <c r="W17" i="420" s="1"/>
  <c r="R17" i="420"/>
  <c r="X16" i="420"/>
  <c r="U16" i="420"/>
  <c r="V16" i="420" s="1"/>
  <c r="R16" i="420"/>
  <c r="X15" i="420"/>
  <c r="U15" i="420"/>
  <c r="V15" i="420" s="1"/>
  <c r="R15" i="420"/>
  <c r="X14" i="420"/>
  <c r="U14" i="420"/>
  <c r="V14" i="420" s="1"/>
  <c r="R14" i="420"/>
  <c r="X13" i="420"/>
  <c r="U13" i="420"/>
  <c r="V13" i="420" s="1"/>
  <c r="R13" i="420"/>
  <c r="X12" i="420"/>
  <c r="U12" i="420"/>
  <c r="V12" i="420" s="1"/>
  <c r="AE12" i="420" s="1"/>
  <c r="R12" i="420"/>
  <c r="X11" i="420"/>
  <c r="U11" i="420"/>
  <c r="V11" i="420" s="1"/>
  <c r="W11" i="420" s="1"/>
  <c r="R11" i="420"/>
  <c r="X10" i="420"/>
  <c r="U10" i="420"/>
  <c r="V10" i="420" s="1"/>
  <c r="AE10" i="420" s="1"/>
  <c r="R10" i="420"/>
  <c r="X9" i="420"/>
  <c r="U9" i="420"/>
  <c r="V9" i="420" s="1"/>
  <c r="R9" i="420"/>
  <c r="X8" i="420"/>
  <c r="U8" i="420"/>
  <c r="V8" i="420" s="1"/>
  <c r="W8" i="420" s="1"/>
  <c r="R8" i="420"/>
  <c r="X7" i="420"/>
  <c r="U7" i="420"/>
  <c r="V7" i="420" s="1"/>
  <c r="AE7" i="420" s="1"/>
  <c r="R7" i="420"/>
  <c r="X6" i="420"/>
  <c r="U6" i="420"/>
  <c r="V6" i="420" s="1"/>
  <c r="AE6" i="420" s="1"/>
  <c r="R6" i="420"/>
  <c r="X5" i="420"/>
  <c r="U5" i="420"/>
  <c r="V5" i="420" s="1"/>
  <c r="AE5" i="420" s="1"/>
  <c r="R5" i="420"/>
  <c r="AE4" i="420"/>
  <c r="X3" i="420"/>
  <c r="V3" i="420"/>
  <c r="W3" i="420" s="1"/>
  <c r="U3" i="420"/>
  <c r="R3" i="420"/>
  <c r="S128" i="4"/>
  <c r="S127" i="4"/>
  <c r="S126" i="4"/>
  <c r="S125" i="4"/>
  <c r="T125" i="4" s="1"/>
  <c r="S119" i="4"/>
  <c r="T119" i="4" s="1"/>
  <c r="U119" i="4" s="1"/>
  <c r="S120" i="4"/>
  <c r="T120" i="4" s="1"/>
  <c r="U120" i="4" s="1"/>
  <c r="S121" i="4"/>
  <c r="T121" i="4" s="1"/>
  <c r="U121" i="4" s="1"/>
  <c r="S122" i="4"/>
  <c r="T122" i="4" s="1"/>
  <c r="S123" i="4"/>
  <c r="T123" i="4" s="1"/>
  <c r="S124" i="4"/>
  <c r="T124" i="4" s="1"/>
  <c r="X26" i="68"/>
  <c r="U26" i="68"/>
  <c r="V26" i="68" s="1"/>
  <c r="R26" i="68"/>
  <c r="X25" i="68"/>
  <c r="V25" i="68"/>
  <c r="W25" i="68" s="1"/>
  <c r="U25" i="68"/>
  <c r="R25" i="68"/>
  <c r="S49" i="4"/>
  <c r="T49" i="4" s="1"/>
  <c r="AG48" i="4" s="1"/>
  <c r="S43" i="4"/>
  <c r="T43" i="4" s="1"/>
  <c r="AG42" i="4" s="1"/>
  <c r="S44" i="4"/>
  <c r="T44" i="4" s="1"/>
  <c r="AG43" i="4" s="1"/>
  <c r="S42" i="4"/>
  <c r="T42" i="4" s="1"/>
  <c r="AG41" i="4" s="1"/>
  <c r="AD24" i="68"/>
  <c r="W24" i="68"/>
  <c r="V24" i="68"/>
  <c r="T24" i="68"/>
  <c r="Q24" i="68"/>
  <c r="U131" i="4"/>
  <c r="S131" i="4"/>
  <c r="S27" i="4"/>
  <c r="T27" i="4" s="1"/>
  <c r="AG26" i="4" s="1"/>
  <c r="AG119" i="4" l="1"/>
  <c r="AG118" i="4"/>
  <c r="U125" i="4"/>
  <c r="AG124" i="4"/>
  <c r="G23" i="5"/>
  <c r="G5" i="5"/>
  <c r="W76" i="420"/>
  <c r="AE76" i="420"/>
  <c r="W96" i="420"/>
  <c r="AE96" i="420"/>
  <c r="W64" i="420"/>
  <c r="AE64" i="420"/>
  <c r="AE16" i="420"/>
  <c r="W16" i="420"/>
  <c r="W108" i="420"/>
  <c r="AE108" i="420"/>
  <c r="W44" i="420"/>
  <c r="AE44" i="420"/>
  <c r="W84" i="420"/>
  <c r="AE84" i="420"/>
  <c r="AE60" i="420"/>
  <c r="W60" i="420"/>
  <c r="W110" i="420"/>
  <c r="AE116" i="420"/>
  <c r="AE49" i="420"/>
  <c r="AE3" i="420"/>
  <c r="AE61" i="420"/>
  <c r="AE71" i="420"/>
  <c r="W71" i="420"/>
  <c r="AE22" i="420"/>
  <c r="W22" i="420"/>
  <c r="AE86" i="420"/>
  <c r="W86" i="420"/>
  <c r="AE118" i="420"/>
  <c r="W118" i="420"/>
  <c r="AE51" i="420"/>
  <c r="W51" i="420"/>
  <c r="AE83" i="420"/>
  <c r="W83" i="420"/>
  <c r="W13" i="420"/>
  <c r="AE13" i="420"/>
  <c r="AE115" i="420"/>
  <c r="W115" i="420"/>
  <c r="AE54" i="420"/>
  <c r="W54" i="420"/>
  <c r="AE19" i="420"/>
  <c r="W19" i="420"/>
  <c r="AE39" i="420"/>
  <c r="W39" i="420"/>
  <c r="AE38" i="420"/>
  <c r="W38" i="420"/>
  <c r="AE58" i="420"/>
  <c r="W58" i="420"/>
  <c r="AE70" i="420"/>
  <c r="W70" i="420"/>
  <c r="AE106" i="420"/>
  <c r="W106" i="420"/>
  <c r="AE123" i="420"/>
  <c r="W123" i="420"/>
  <c r="W66" i="420"/>
  <c r="W72" i="420"/>
  <c r="W89" i="420"/>
  <c r="AE89" i="420"/>
  <c r="W10" i="420"/>
  <c r="AE79" i="420"/>
  <c r="W79" i="420"/>
  <c r="W121" i="420"/>
  <c r="AE121" i="420"/>
  <c r="AE15" i="420"/>
  <c r="W15" i="420"/>
  <c r="AE27" i="420"/>
  <c r="W27" i="420"/>
  <c r="W75" i="420"/>
  <c r="AE92" i="420"/>
  <c r="W92" i="420"/>
  <c r="W43" i="420"/>
  <c r="AE47" i="420"/>
  <c r="W47" i="420"/>
  <c r="AE119" i="420"/>
  <c r="AE9" i="420"/>
  <c r="W9" i="420"/>
  <c r="AE17" i="420"/>
  <c r="W25" i="420"/>
  <c r="AE25" i="420"/>
  <c r="W45" i="420"/>
  <c r="AE45" i="420"/>
  <c r="AE82" i="420"/>
  <c r="W82" i="420"/>
  <c r="AE103" i="420"/>
  <c r="W103" i="420"/>
  <c r="AE37" i="420"/>
  <c r="AE14" i="420"/>
  <c r="W14" i="420"/>
  <c r="AE26" i="420"/>
  <c r="W26" i="420"/>
  <c r="AE42" i="420"/>
  <c r="W42" i="420"/>
  <c r="AE48" i="420"/>
  <c r="W48" i="420"/>
  <c r="W6" i="420"/>
  <c r="W34" i="420"/>
  <c r="W40" i="420"/>
  <c r="W46" i="420"/>
  <c r="AE94" i="420"/>
  <c r="W94" i="420"/>
  <c r="AE102" i="420"/>
  <c r="W102" i="420"/>
  <c r="W104" i="420"/>
  <c r="AE8" i="420"/>
  <c r="AE59" i="420"/>
  <c r="W59" i="420"/>
  <c r="AE87" i="420"/>
  <c r="AE111" i="420"/>
  <c r="W111" i="420"/>
  <c r="W31" i="420"/>
  <c r="W63" i="420"/>
  <c r="AE90" i="420"/>
  <c r="W90" i="420"/>
  <c r="W98" i="420"/>
  <c r="W107" i="420"/>
  <c r="AE124" i="420"/>
  <c r="W124" i="420"/>
  <c r="W7" i="420"/>
  <c r="W57" i="420"/>
  <c r="AE57" i="420"/>
  <c r="AE122" i="420"/>
  <c r="W122" i="420"/>
  <c r="AE35" i="420"/>
  <c r="AE67" i="420"/>
  <c r="AE69" i="420"/>
  <c r="AE114" i="420"/>
  <c r="W114" i="420"/>
  <c r="AE11" i="420"/>
  <c r="AE18" i="420"/>
  <c r="W18" i="420"/>
  <c r="AE23" i="420"/>
  <c r="AE30" i="420"/>
  <c r="W30" i="420"/>
  <c r="AE50" i="420"/>
  <c r="W50" i="420"/>
  <c r="AE55" i="420"/>
  <c r="AE62" i="420"/>
  <c r="W62" i="420"/>
  <c r="AE74" i="420"/>
  <c r="W74" i="420"/>
  <c r="W78" i="420"/>
  <c r="AE91" i="420"/>
  <c r="W91" i="420"/>
  <c r="W95" i="420"/>
  <c r="W101" i="420"/>
  <c r="AE101" i="420"/>
  <c r="W80" i="420"/>
  <c r="W112" i="420"/>
  <c r="W5" i="420"/>
  <c r="W36" i="420"/>
  <c r="W68" i="420"/>
  <c r="AE77" i="420"/>
  <c r="W100" i="420"/>
  <c r="AE109" i="420"/>
  <c r="W24" i="420"/>
  <c r="AE33" i="420"/>
  <c r="W56" i="420"/>
  <c r="AE65" i="420"/>
  <c r="W88" i="420"/>
  <c r="AE97" i="420"/>
  <c r="W120" i="420"/>
  <c r="AE21" i="420"/>
  <c r="AE53" i="420"/>
  <c r="AE85" i="420"/>
  <c r="AE117" i="420"/>
  <c r="AE41" i="420"/>
  <c r="AE73" i="420"/>
  <c r="AE105" i="420"/>
  <c r="AE26" i="68"/>
  <c r="W26" i="68"/>
  <c r="AE25" i="68"/>
  <c r="U44" i="4"/>
  <c r="U49" i="4"/>
  <c r="U43" i="4"/>
  <c r="U42" i="4"/>
  <c r="U124" i="4"/>
  <c r="U123" i="4"/>
  <c r="U122" i="4"/>
  <c r="U27" i="4"/>
  <c r="AD23" i="68" l="1"/>
  <c r="W23" i="68"/>
  <c r="V23" i="68"/>
  <c r="T23" i="68"/>
  <c r="Q23" i="68"/>
  <c r="W22" i="68"/>
  <c r="T22" i="68"/>
  <c r="U22" i="68" s="1"/>
  <c r="Q22" i="68"/>
  <c r="S117" i="4"/>
  <c r="T117" i="4" s="1"/>
  <c r="AG116" i="4" s="1"/>
  <c r="S118" i="4"/>
  <c r="T118" i="4" s="1"/>
  <c r="AG117" i="4" s="1"/>
  <c r="S116" i="4"/>
  <c r="T116" i="4" s="1"/>
  <c r="AG115" i="4" s="1"/>
  <c r="AD22" i="68" l="1"/>
  <c r="V22" i="68"/>
  <c r="U117" i="4"/>
  <c r="U118" i="4"/>
  <c r="U116" i="4"/>
  <c r="W21" i="68" l="1"/>
  <c r="T21" i="68"/>
  <c r="U21" i="68" s="1"/>
  <c r="Q21" i="68"/>
  <c r="D23" i="11"/>
  <c r="F23" i="11"/>
  <c r="AB21" i="68" l="1"/>
  <c r="V21" i="68"/>
  <c r="S23" i="4" l="1"/>
  <c r="T23" i="4" s="1"/>
  <c r="T20" i="68"/>
  <c r="U20" i="68" s="1"/>
  <c r="Q20" i="68"/>
  <c r="AB19" i="68"/>
  <c r="W19" i="68"/>
  <c r="V19" i="68"/>
  <c r="T19" i="68"/>
  <c r="Q19" i="68"/>
  <c r="U23" i="4" l="1"/>
  <c r="AG22" i="4"/>
  <c r="AB20" i="68"/>
  <c r="V20" i="68"/>
  <c r="S68" i="4" l="1"/>
  <c r="T68" i="4" s="1"/>
  <c r="AG67" i="4" s="1"/>
  <c r="U68" i="4" l="1"/>
  <c r="S115" i="4" l="1"/>
  <c r="T115" i="4" l="1"/>
  <c r="S114" i="4"/>
  <c r="T114" i="4" s="1"/>
  <c r="AG113" i="4" s="1"/>
  <c r="S16" i="4"/>
  <c r="T16" i="4" s="1"/>
  <c r="AG15" i="4" s="1"/>
  <c r="S69" i="4"/>
  <c r="T69" i="4" s="1"/>
  <c r="AG68" i="4" s="1"/>
  <c r="U115" i="4" l="1"/>
  <c r="AG114" i="4"/>
  <c r="U114" i="4"/>
  <c r="U16" i="4"/>
  <c r="U69" i="4"/>
  <c r="S18" i="68" l="1"/>
  <c r="T18" i="68" s="1"/>
  <c r="AA18" i="68" s="1"/>
  <c r="S17" i="68"/>
  <c r="T17" i="68" s="1"/>
  <c r="U17" i="68" s="1"/>
  <c r="Y16" i="68"/>
  <c r="S16" i="68"/>
  <c r="Q16" i="68"/>
  <c r="U18" i="68" l="1"/>
  <c r="AA17" i="68"/>
  <c r="G12" i="175"/>
  <c r="F12" i="175"/>
  <c r="E12" i="175"/>
  <c r="D12" i="175"/>
  <c r="F8" i="175"/>
  <c r="F9" i="175"/>
  <c r="F10" i="175"/>
  <c r="F11" i="175"/>
  <c r="F13" i="175"/>
  <c r="F7" i="175"/>
  <c r="F6" i="175"/>
  <c r="F5" i="175"/>
  <c r="F4" i="175"/>
  <c r="G13" i="175"/>
  <c r="E13" i="175"/>
  <c r="D13" i="175"/>
  <c r="G11" i="175"/>
  <c r="E11" i="175"/>
  <c r="D11" i="175"/>
  <c r="G10" i="175"/>
  <c r="E10" i="175"/>
  <c r="D10" i="175"/>
  <c r="G9" i="175"/>
  <c r="E9" i="175"/>
  <c r="D9" i="175"/>
  <c r="G8" i="175"/>
  <c r="E8" i="175"/>
  <c r="D8" i="175"/>
  <c r="G7" i="175"/>
  <c r="E7" i="175"/>
  <c r="D7" i="175"/>
  <c r="G6" i="175"/>
  <c r="E6" i="175"/>
  <c r="D6" i="175"/>
  <c r="G5" i="175"/>
  <c r="E5" i="175"/>
  <c r="D5" i="175"/>
  <c r="G4" i="175"/>
  <c r="E4" i="175"/>
  <c r="D4" i="175"/>
  <c r="S62" i="4"/>
  <c r="T62" i="4" s="1"/>
  <c r="H12" i="175" l="1"/>
  <c r="H8" i="175"/>
  <c r="H5" i="175"/>
  <c r="H6" i="175"/>
  <c r="H11" i="175"/>
  <c r="H10" i="175"/>
  <c r="H9" i="175"/>
  <c r="D14" i="175"/>
  <c r="E14" i="175"/>
  <c r="H7" i="175"/>
  <c r="G14" i="175"/>
  <c r="H13" i="175"/>
  <c r="H4" i="175"/>
  <c r="U62" i="4"/>
  <c r="H14" i="175" l="1"/>
  <c r="Y15" i="68" l="1"/>
  <c r="S15" i="68"/>
  <c r="Q15" i="68"/>
  <c r="A15" i="68"/>
  <c r="A16" i="68" l="1"/>
  <c r="A17" i="68" s="1"/>
  <c r="A18" i="68" s="1"/>
  <c r="X14" i="68"/>
  <c r="S14" i="68"/>
  <c r="Q14" i="68"/>
  <c r="F42" i="11"/>
  <c r="E42" i="11"/>
  <c r="D42" i="11"/>
  <c r="D36" i="11"/>
  <c r="F22" i="11"/>
  <c r="E23" i="11"/>
  <c r="D22" i="11"/>
  <c r="E22" i="11"/>
  <c r="F21" i="11"/>
  <c r="E21" i="11"/>
  <c r="D21" i="11"/>
  <c r="F25" i="11"/>
  <c r="E25" i="11"/>
  <c r="D25" i="11"/>
  <c r="F43" i="11"/>
  <c r="E43" i="11"/>
  <c r="D43" i="11"/>
  <c r="E25" i="5"/>
  <c r="D25" i="5"/>
  <c r="F25" i="5"/>
  <c r="X12" i="68"/>
  <c r="S12" i="68"/>
  <c r="Q12" i="68"/>
  <c r="S113" i="4"/>
  <c r="T113" i="4" s="1"/>
  <c r="AG112" i="4" s="1"/>
  <c r="S112" i="4"/>
  <c r="T112" i="4" s="1"/>
  <c r="AG111" i="4" s="1"/>
  <c r="G25" i="5" l="1"/>
  <c r="A19" i="68"/>
  <c r="A20" i="68" s="1"/>
  <c r="G22" i="11"/>
  <c r="G23" i="11"/>
  <c r="G43" i="11"/>
  <c r="G21" i="11"/>
  <c r="U113" i="4"/>
  <c r="U112" i="4"/>
  <c r="A21" i="68" l="1"/>
  <c r="S111" i="4"/>
  <c r="T111" i="4" s="1"/>
  <c r="AG110" i="4" s="1"/>
  <c r="S110" i="4"/>
  <c r="T110" i="4" s="1"/>
  <c r="AG109" i="4" s="1"/>
  <c r="U111" i="4" l="1"/>
  <c r="U110" i="4"/>
  <c r="S109" i="4"/>
  <c r="T109" i="4" s="1"/>
  <c r="AG108" i="4" s="1"/>
  <c r="U109" i="4" l="1"/>
  <c r="E59" i="11"/>
  <c r="D59" i="11"/>
  <c r="E58" i="11"/>
  <c r="D58" i="11"/>
  <c r="F59" i="11" l="1"/>
  <c r="F58" i="11"/>
  <c r="D60" i="11"/>
  <c r="E60" i="11"/>
  <c r="S12" i="4"/>
  <c r="T12" i="4" l="1"/>
  <c r="AG11" i="4" s="1"/>
  <c r="S108" i="4" l="1"/>
  <c r="T108" i="4" s="1"/>
  <c r="AG107" i="4" s="1"/>
  <c r="F37" i="11"/>
  <c r="E37" i="11"/>
  <c r="D37" i="11"/>
  <c r="S107" i="4"/>
  <c r="T107" i="4" s="1"/>
  <c r="AG106" i="4" s="1"/>
  <c r="P13" i="68"/>
  <c r="Q13" i="68" s="1"/>
  <c r="G42" i="11" l="1"/>
  <c r="U108" i="4"/>
  <c r="G37" i="11"/>
  <c r="U107" i="4"/>
  <c r="R13" i="68"/>
  <c r="R11" i="68" l="1"/>
  <c r="P11" i="68"/>
  <c r="E54" i="30" l="1"/>
  <c r="F54" i="30" s="1"/>
  <c r="G54" i="30"/>
  <c r="E55" i="30"/>
  <c r="F55" i="30" s="1"/>
  <c r="G55" i="30"/>
  <c r="E56" i="30"/>
  <c r="F56" i="30" s="1"/>
  <c r="G56" i="30"/>
  <c r="E57" i="30"/>
  <c r="F57" i="30" s="1"/>
  <c r="G57" i="30"/>
  <c r="E58" i="30"/>
  <c r="F58" i="30" s="1"/>
  <c r="G58" i="30"/>
  <c r="E59" i="30"/>
  <c r="F59" i="30" s="1"/>
  <c r="G59" i="30"/>
  <c r="E60" i="30"/>
  <c r="F60" i="30" s="1"/>
  <c r="G60" i="30"/>
  <c r="E61" i="30"/>
  <c r="F61" i="30" s="1"/>
  <c r="G61" i="30"/>
  <c r="E62" i="30"/>
  <c r="F62" i="30" s="1"/>
  <c r="G62" i="30"/>
  <c r="E63" i="30"/>
  <c r="F63" i="30" s="1"/>
  <c r="G63" i="30"/>
  <c r="X10" i="68"/>
  <c r="R10" i="68"/>
  <c r="P10" i="68"/>
  <c r="P9" i="68"/>
  <c r="Q9" i="68" s="1"/>
  <c r="X8" i="68"/>
  <c r="R8" i="68"/>
  <c r="P8" i="68"/>
  <c r="X9" i="68" l="1"/>
  <c r="R9" i="68"/>
  <c r="F5" i="11"/>
  <c r="E5" i="11"/>
  <c r="D5" i="11"/>
  <c r="F6" i="11"/>
  <c r="E6" i="11"/>
  <c r="D6" i="11"/>
  <c r="S106" i="4"/>
  <c r="T106" i="4" s="1"/>
  <c r="AG105" i="4" s="1"/>
  <c r="G5" i="11" l="1"/>
  <c r="G6" i="11"/>
  <c r="U106" i="4"/>
  <c r="P7" i="68"/>
  <c r="Q7" i="68" s="1"/>
  <c r="X7" i="68" l="1"/>
  <c r="R7" i="68"/>
  <c r="X6" i="68"/>
  <c r="R6" i="68"/>
  <c r="P6" i="68"/>
  <c r="S3" i="4"/>
  <c r="T3" i="4" s="1"/>
  <c r="S5" i="4"/>
  <c r="T5" i="4" s="1"/>
  <c r="AG4" i="4" s="1"/>
  <c r="S6" i="4"/>
  <c r="T6" i="4" s="1"/>
  <c r="AG5" i="4" s="1"/>
  <c r="S7" i="4"/>
  <c r="T7" i="4" s="1"/>
  <c r="AG6" i="4" s="1"/>
  <c r="S8" i="4"/>
  <c r="T8" i="4" s="1"/>
  <c r="AG7" i="4" s="1"/>
  <c r="S9" i="4"/>
  <c r="T9" i="4" s="1"/>
  <c r="AG8" i="4" s="1"/>
  <c r="S10" i="4"/>
  <c r="T10" i="4" s="1"/>
  <c r="AG9" i="4" s="1"/>
  <c r="S11" i="4"/>
  <c r="T11" i="4" s="1"/>
  <c r="AG10" i="4" s="1"/>
  <c r="S13" i="4"/>
  <c r="T13" i="4" s="1"/>
  <c r="AG12" i="4" s="1"/>
  <c r="S14" i="4"/>
  <c r="T14" i="4" s="1"/>
  <c r="AG13" i="4" s="1"/>
  <c r="S15" i="4"/>
  <c r="T15" i="4" s="1"/>
  <c r="AG14" i="4" s="1"/>
  <c r="S17" i="4"/>
  <c r="T17" i="4" s="1"/>
  <c r="AG16" i="4" s="1"/>
  <c r="S18" i="4"/>
  <c r="T18" i="4" s="1"/>
  <c r="AG17" i="4" s="1"/>
  <c r="S19" i="4"/>
  <c r="T19" i="4" s="1"/>
  <c r="AG18" i="4" s="1"/>
  <c r="S20" i="4"/>
  <c r="T20" i="4" s="1"/>
  <c r="AG19" i="4" s="1"/>
  <c r="S21" i="4"/>
  <c r="T21" i="4" s="1"/>
  <c r="AG20" i="4" s="1"/>
  <c r="S22" i="4"/>
  <c r="T22" i="4" s="1"/>
  <c r="AG21" i="4" s="1"/>
  <c r="S24" i="4"/>
  <c r="T24" i="4" s="1"/>
  <c r="AG23" i="4" s="1"/>
  <c r="S25" i="4"/>
  <c r="T25" i="4" s="1"/>
  <c r="AG24" i="4" s="1"/>
  <c r="S26" i="4"/>
  <c r="T26" i="4" s="1"/>
  <c r="AG25" i="4" s="1"/>
  <c r="S28" i="4"/>
  <c r="T28" i="4" s="1"/>
  <c r="AG27" i="4" s="1"/>
  <c r="S29" i="4"/>
  <c r="T29" i="4" s="1"/>
  <c r="AG28" i="4" s="1"/>
  <c r="S30" i="4"/>
  <c r="T30" i="4" s="1"/>
  <c r="AG29" i="4" s="1"/>
  <c r="S31" i="4"/>
  <c r="T31" i="4" s="1"/>
  <c r="AG30" i="4" s="1"/>
  <c r="S32" i="4"/>
  <c r="T32" i="4" s="1"/>
  <c r="AG31" i="4" s="1"/>
  <c r="S33" i="4"/>
  <c r="T33" i="4" s="1"/>
  <c r="AG32" i="4" s="1"/>
  <c r="S34" i="4"/>
  <c r="T34" i="4" s="1"/>
  <c r="AG33" i="4" s="1"/>
  <c r="S35" i="4"/>
  <c r="T35" i="4" s="1"/>
  <c r="AG34" i="4" s="1"/>
  <c r="S36" i="4"/>
  <c r="T36" i="4" s="1"/>
  <c r="AG35" i="4" s="1"/>
  <c r="S37" i="4"/>
  <c r="T37" i="4" s="1"/>
  <c r="AG36" i="4" s="1"/>
  <c r="S38" i="4"/>
  <c r="T38" i="4" s="1"/>
  <c r="AG37" i="4" s="1"/>
  <c r="S39" i="4"/>
  <c r="T39" i="4" s="1"/>
  <c r="AG38" i="4" s="1"/>
  <c r="S41" i="4"/>
  <c r="T41" i="4" s="1"/>
  <c r="AG40" i="4" s="1"/>
  <c r="S40" i="4"/>
  <c r="T40" i="4" s="1"/>
  <c r="AG39" i="4" s="1"/>
  <c r="S45" i="4"/>
  <c r="T45" i="4" s="1"/>
  <c r="AG44" i="4" s="1"/>
  <c r="S46" i="4"/>
  <c r="T46" i="4" s="1"/>
  <c r="AG45" i="4" s="1"/>
  <c r="S47" i="4"/>
  <c r="T47" i="4" s="1"/>
  <c r="AG46" i="4" s="1"/>
  <c r="S50" i="4"/>
  <c r="T50" i="4" s="1"/>
  <c r="AG49" i="4" s="1"/>
  <c r="S48" i="4"/>
  <c r="T48" i="4" s="1"/>
  <c r="AG47" i="4" s="1"/>
  <c r="S52" i="4"/>
  <c r="T52" i="4" s="1"/>
  <c r="AG51" i="4" s="1"/>
  <c r="S51" i="4"/>
  <c r="T51" i="4" s="1"/>
  <c r="AG50" i="4" s="1"/>
  <c r="S54" i="4"/>
  <c r="S56" i="4"/>
  <c r="T56" i="4" s="1"/>
  <c r="S55" i="4"/>
  <c r="T55" i="4" s="1"/>
  <c r="S53" i="4"/>
  <c r="T53" i="4" s="1"/>
  <c r="AG52" i="4" s="1"/>
  <c r="S59" i="4"/>
  <c r="T59" i="4" s="1"/>
  <c r="S58" i="4"/>
  <c r="T58" i="4" s="1"/>
  <c r="S57" i="4"/>
  <c r="T57" i="4" s="1"/>
  <c r="S61" i="4"/>
  <c r="T61" i="4" s="1"/>
  <c r="S60" i="4"/>
  <c r="T60" i="4" s="1"/>
  <c r="S67" i="4"/>
  <c r="T67" i="4" s="1"/>
  <c r="AG66" i="4" s="1"/>
  <c r="S66" i="4"/>
  <c r="T66" i="4" s="1"/>
  <c r="AG65" i="4" s="1"/>
  <c r="S73" i="4"/>
  <c r="T73" i="4" s="1"/>
  <c r="AG72" i="4" s="1"/>
  <c r="S72" i="4"/>
  <c r="T72" i="4" s="1"/>
  <c r="AG71" i="4" s="1"/>
  <c r="S65" i="4"/>
  <c r="T65" i="4" s="1"/>
  <c r="S64" i="4"/>
  <c r="T64" i="4" s="1"/>
  <c r="S75" i="4"/>
  <c r="T75" i="4" s="1"/>
  <c r="AG74" i="4" s="1"/>
  <c r="S74" i="4"/>
  <c r="T74" i="4" s="1"/>
  <c r="AG73" i="4" s="1"/>
  <c r="S77" i="4"/>
  <c r="T77" i="4" s="1"/>
  <c r="AG76" i="4" s="1"/>
  <c r="S76" i="4"/>
  <c r="T76" i="4" s="1"/>
  <c r="AG75" i="4" s="1"/>
  <c r="S79" i="4"/>
  <c r="T79" i="4" s="1"/>
  <c r="AG78" i="4" s="1"/>
  <c r="S78" i="4"/>
  <c r="T78" i="4" s="1"/>
  <c r="AG77" i="4" s="1"/>
  <c r="S80" i="4"/>
  <c r="T80" i="4" s="1"/>
  <c r="AG79" i="4" s="1"/>
  <c r="S81" i="4"/>
  <c r="T81" i="4" s="1"/>
  <c r="S84" i="4"/>
  <c r="T84" i="4" s="1"/>
  <c r="S83" i="4"/>
  <c r="T83" i="4" s="1"/>
  <c r="S82" i="4"/>
  <c r="T82" i="4" s="1"/>
  <c r="S85" i="4"/>
  <c r="T85" i="4" s="1"/>
  <c r="S87" i="4"/>
  <c r="T87" i="4" s="1"/>
  <c r="AG86" i="4" s="1"/>
  <c r="S86" i="4"/>
  <c r="T86" i="4" s="1"/>
  <c r="AG85" i="4" s="1"/>
  <c r="S88" i="4"/>
  <c r="T88" i="4" s="1"/>
  <c r="AG87" i="4" s="1"/>
  <c r="S89" i="4"/>
  <c r="T89" i="4" s="1"/>
  <c r="AG88" i="4" s="1"/>
  <c r="S90" i="4"/>
  <c r="T90" i="4" s="1"/>
  <c r="AG89" i="4" s="1"/>
  <c r="S92" i="4"/>
  <c r="T92" i="4" s="1"/>
  <c r="AG91" i="4" s="1"/>
  <c r="S91" i="4"/>
  <c r="T91" i="4" s="1"/>
  <c r="AG90" i="4" s="1"/>
  <c r="S93" i="4"/>
  <c r="T93" i="4" s="1"/>
  <c r="AG92" i="4" s="1"/>
  <c r="S94" i="4"/>
  <c r="T94" i="4" s="1"/>
  <c r="AG93" i="4" s="1"/>
  <c r="S97" i="4"/>
  <c r="T97" i="4" s="1"/>
  <c r="AG96" i="4" s="1"/>
  <c r="S96" i="4"/>
  <c r="T96" i="4" s="1"/>
  <c r="AG95" i="4" s="1"/>
  <c r="S95" i="4"/>
  <c r="T95" i="4" s="1"/>
  <c r="AG94" i="4" s="1"/>
  <c r="S98" i="4"/>
  <c r="T98" i="4" s="1"/>
  <c r="AG97" i="4" s="1"/>
  <c r="S99" i="4"/>
  <c r="T99" i="4" s="1"/>
  <c r="AG98" i="4" s="1"/>
  <c r="S100" i="4"/>
  <c r="T100" i="4" s="1"/>
  <c r="AG99" i="4" s="1"/>
  <c r="S71" i="4"/>
  <c r="T71" i="4" s="1"/>
  <c r="AG70" i="4" s="1"/>
  <c r="S63" i="4"/>
  <c r="T63" i="4" s="1"/>
  <c r="S70" i="4"/>
  <c r="T70" i="4" s="1"/>
  <c r="AG69" i="4" s="1"/>
  <c r="S101" i="4"/>
  <c r="T101" i="4" s="1"/>
  <c r="AG100" i="4" s="1"/>
  <c r="S102" i="4"/>
  <c r="T102" i="4" s="1"/>
  <c r="AG101" i="4" s="1"/>
  <c r="S103" i="4"/>
  <c r="T103" i="4" s="1"/>
  <c r="AG102" i="4" s="1"/>
  <c r="S105" i="4"/>
  <c r="T105" i="4" s="1"/>
  <c r="AG104" i="4" s="1"/>
  <c r="S104" i="4"/>
  <c r="T104" i="4" s="1"/>
  <c r="AG103" i="4" s="1"/>
  <c r="AA4" i="68"/>
  <c r="U4" i="68"/>
  <c r="S4" i="68"/>
  <c r="P4" i="68"/>
  <c r="Q4" i="68" s="1"/>
  <c r="AA5" i="68"/>
  <c r="U5" i="68"/>
  <c r="S5" i="68"/>
  <c r="P5" i="68"/>
  <c r="Q5" i="68" s="1"/>
  <c r="T54" i="4" l="1"/>
  <c r="AG53" i="4" s="1"/>
  <c r="U64" i="4"/>
  <c r="U65" i="4"/>
  <c r="U72" i="4"/>
  <c r="U38" i="4"/>
  <c r="U30" i="4"/>
  <c r="U21" i="4"/>
  <c r="U3" i="4"/>
  <c r="U51" i="4"/>
  <c r="U47" i="4"/>
  <c r="U41" i="4"/>
  <c r="U32" i="4"/>
  <c r="U24" i="4"/>
  <c r="U15" i="4"/>
  <c r="U6" i="4"/>
  <c r="U46" i="4"/>
  <c r="U39" i="4"/>
  <c r="U31" i="4"/>
  <c r="U22" i="4"/>
  <c r="U14" i="4"/>
  <c r="U5" i="4"/>
  <c r="U45" i="4"/>
  <c r="U13" i="4"/>
  <c r="U37" i="4"/>
  <c r="U29" i="4"/>
  <c r="U20" i="4"/>
  <c r="U11" i="4"/>
  <c r="U52" i="4"/>
  <c r="U36" i="4"/>
  <c r="U19" i="4"/>
  <c r="U10" i="4"/>
  <c r="U35" i="4"/>
  <c r="U28" i="4"/>
  <c r="U9" i="4"/>
  <c r="U48" i="4"/>
  <c r="U34" i="4"/>
  <c r="U26" i="4"/>
  <c r="U18" i="4"/>
  <c r="U8" i="4"/>
  <c r="U50" i="4"/>
  <c r="U40" i="4"/>
  <c r="U33" i="4"/>
  <c r="U25" i="4"/>
  <c r="U17" i="4"/>
  <c r="U7" i="4"/>
  <c r="G53" i="30" l="1"/>
  <c r="E53" i="30"/>
  <c r="F53" i="30" s="1"/>
  <c r="E52" i="30"/>
  <c r="F52" i="30" s="1"/>
  <c r="G52" i="30"/>
  <c r="F24" i="11" l="1"/>
  <c r="E24" i="11"/>
  <c r="D24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4" i="11"/>
  <c r="E4" i="11"/>
  <c r="D4" i="11"/>
  <c r="D26" i="11" l="1"/>
  <c r="F36" i="11"/>
  <c r="E36" i="11"/>
  <c r="F35" i="11"/>
  <c r="E35" i="11"/>
  <c r="D35" i="11"/>
  <c r="E51" i="30"/>
  <c r="F51" i="30" s="1"/>
  <c r="G51" i="30"/>
  <c r="E50" i="30"/>
  <c r="F50" i="30" s="1"/>
  <c r="G50" i="30"/>
  <c r="E49" i="30" l="1"/>
  <c r="F49" i="30" s="1"/>
  <c r="G49" i="30"/>
  <c r="E48" i="30" l="1"/>
  <c r="F48" i="30" s="1"/>
  <c r="G48" i="30"/>
  <c r="E47" i="30"/>
  <c r="F47" i="30" s="1"/>
  <c r="G47" i="30"/>
  <c r="E46" i="30"/>
  <c r="F46" i="30" s="1"/>
  <c r="G46" i="30"/>
  <c r="E44" i="30"/>
  <c r="F44" i="30" s="1"/>
  <c r="G44" i="30"/>
  <c r="E45" i="30"/>
  <c r="F45" i="30" s="1"/>
  <c r="G45" i="30"/>
  <c r="E43" i="30" l="1"/>
  <c r="F43" i="30" s="1"/>
  <c r="G43" i="30"/>
  <c r="E42" i="30"/>
  <c r="F42" i="30" s="1"/>
  <c r="G42" i="30"/>
  <c r="F54" i="11" l="1"/>
  <c r="E54" i="11"/>
  <c r="D54" i="11"/>
  <c r="F53" i="11"/>
  <c r="E53" i="11"/>
  <c r="D53" i="11"/>
  <c r="F44" i="11"/>
  <c r="E44" i="11"/>
  <c r="D44" i="11"/>
  <c r="F41" i="11"/>
  <c r="E41" i="11"/>
  <c r="D41" i="11"/>
  <c r="F40" i="11"/>
  <c r="E40" i="11"/>
  <c r="D40" i="11"/>
  <c r="E30" i="11"/>
  <c r="G41" i="11" l="1"/>
  <c r="U104" i="4"/>
  <c r="U105" i="4"/>
  <c r="U103" i="4"/>
  <c r="U71" i="4"/>
  <c r="U102" i="4"/>
  <c r="U101" i="4" l="1"/>
  <c r="G54" i="11"/>
  <c r="F55" i="11"/>
  <c r="E55" i="11"/>
  <c r="G53" i="11"/>
  <c r="D55" i="11"/>
  <c r="U63" i="4"/>
  <c r="U70" i="4" l="1"/>
  <c r="G55" i="11"/>
  <c r="E40" i="30" l="1"/>
  <c r="F40" i="30" s="1"/>
  <c r="G40" i="30"/>
  <c r="E41" i="30"/>
  <c r="F41" i="30" s="1"/>
  <c r="G41" i="30"/>
  <c r="E49" i="11"/>
  <c r="D49" i="11"/>
  <c r="E48" i="11"/>
  <c r="D48" i="11"/>
  <c r="D50" i="11" l="1"/>
  <c r="E50" i="11"/>
  <c r="G48" i="11"/>
  <c r="G49" i="11"/>
  <c r="E39" i="30"/>
  <c r="F39" i="30" s="1"/>
  <c r="G39" i="30"/>
  <c r="E38" i="30"/>
  <c r="F38" i="30" s="1"/>
  <c r="G38" i="30"/>
  <c r="E37" i="30"/>
  <c r="F37" i="30" s="1"/>
  <c r="G37" i="30"/>
  <c r="E36" i="30"/>
  <c r="F36" i="30" s="1"/>
  <c r="G36" i="30"/>
  <c r="E35" i="30"/>
  <c r="F35" i="30" s="1"/>
  <c r="G35" i="30"/>
  <c r="G50" i="11" l="1"/>
  <c r="E34" i="30"/>
  <c r="F34" i="30" s="1"/>
  <c r="G34" i="30"/>
  <c r="E33" i="30"/>
  <c r="F33" i="30" s="1"/>
  <c r="G33" i="30"/>
  <c r="E32" i="30"/>
  <c r="F32" i="30" s="1"/>
  <c r="G32" i="30"/>
  <c r="E31" i="30"/>
  <c r="F31" i="30" s="1"/>
  <c r="G31" i="30"/>
  <c r="E30" i="30"/>
  <c r="F30" i="30" s="1"/>
  <c r="G30" i="30"/>
  <c r="E29" i="30" l="1"/>
  <c r="F29" i="30" s="1"/>
  <c r="G29" i="30"/>
  <c r="E28" i="30"/>
  <c r="F28" i="30" s="1"/>
  <c r="G28" i="30"/>
  <c r="E27" i="30" l="1"/>
  <c r="F27" i="30" s="1"/>
  <c r="G27" i="30"/>
  <c r="E25" i="30"/>
  <c r="F25" i="30" s="1"/>
  <c r="G25" i="30"/>
  <c r="E26" i="30"/>
  <c r="F26" i="30" s="1"/>
  <c r="G26" i="30"/>
  <c r="E24" i="30"/>
  <c r="F24" i="30" s="1"/>
  <c r="G24" i="30"/>
  <c r="E23" i="30" l="1"/>
  <c r="F23" i="30" s="1"/>
  <c r="G23" i="30"/>
  <c r="E22" i="30" l="1"/>
  <c r="F22" i="30" s="1"/>
  <c r="G22" i="30"/>
  <c r="E19" i="30" l="1"/>
  <c r="F19" i="30" s="1"/>
  <c r="G19" i="30"/>
  <c r="E20" i="30"/>
  <c r="F20" i="30" s="1"/>
  <c r="G20" i="30"/>
  <c r="E21" i="30"/>
  <c r="F21" i="30" s="1"/>
  <c r="G21" i="30"/>
  <c r="E18" i="30" l="1"/>
  <c r="F18" i="30" s="1"/>
  <c r="G18" i="30"/>
  <c r="E17" i="30" l="1"/>
  <c r="F17" i="30" s="1"/>
  <c r="G17" i="30"/>
  <c r="G15" i="30" l="1"/>
  <c r="E15" i="30"/>
  <c r="F15" i="30" s="1"/>
  <c r="E16" i="30" l="1"/>
  <c r="F16" i="30" s="1"/>
  <c r="G16" i="30"/>
  <c r="U100" i="4" l="1"/>
  <c r="E14" i="30"/>
  <c r="F14" i="30" s="1"/>
  <c r="G14" i="30"/>
  <c r="E13" i="30"/>
  <c r="F13" i="30" s="1"/>
  <c r="G13" i="30"/>
  <c r="E12" i="30"/>
  <c r="F12" i="30" s="1"/>
  <c r="G12" i="30"/>
  <c r="G7" i="30"/>
  <c r="G10" i="30" l="1"/>
  <c r="G11" i="30"/>
  <c r="G8" i="30"/>
  <c r="G9" i="30"/>
  <c r="G3" i="30"/>
  <c r="G4" i="30"/>
  <c r="G5" i="30"/>
  <c r="G6" i="30"/>
  <c r="G2" i="30"/>
  <c r="E3" i="30" l="1"/>
  <c r="E4" i="30"/>
  <c r="E5" i="30"/>
  <c r="E6" i="30"/>
  <c r="E7" i="30"/>
  <c r="E8" i="30"/>
  <c r="E9" i="30"/>
  <c r="E10" i="30"/>
  <c r="E11" i="30"/>
  <c r="E2" i="30"/>
  <c r="F11" i="30" l="1"/>
  <c r="F10" i="30"/>
  <c r="F9" i="30"/>
  <c r="F8" i="30"/>
  <c r="F7" i="30"/>
  <c r="F6" i="30"/>
  <c r="F5" i="30"/>
  <c r="F4" i="30"/>
  <c r="F3" i="30"/>
  <c r="F2" i="30"/>
  <c r="E11" i="5" l="1"/>
  <c r="U99" i="4" l="1"/>
  <c r="D35" i="5" l="1"/>
  <c r="D34" i="5"/>
  <c r="F30" i="5"/>
  <c r="E30" i="5"/>
  <c r="D30" i="5"/>
  <c r="F29" i="5"/>
  <c r="E29" i="5"/>
  <c r="D29" i="5"/>
  <c r="F24" i="5"/>
  <c r="E24" i="5"/>
  <c r="D24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34" i="11"/>
  <c r="E34" i="11"/>
  <c r="D34" i="11"/>
  <c r="F12" i="5"/>
  <c r="E12" i="5"/>
  <c r="D12" i="5"/>
  <c r="F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4" i="5"/>
  <c r="U98" i="4"/>
  <c r="D26" i="5" l="1"/>
  <c r="G24" i="5"/>
  <c r="E26" i="5"/>
  <c r="F26" i="5"/>
  <c r="U54" i="4"/>
  <c r="U56" i="4"/>
  <c r="G35" i="5" l="1"/>
  <c r="U97" i="4"/>
  <c r="G34" i="11" l="1"/>
  <c r="D36" i="5"/>
  <c r="G34" i="5"/>
  <c r="G36" i="5" s="1"/>
  <c r="U95" i="4"/>
  <c r="U96" i="4"/>
  <c r="G25" i="11" l="1"/>
  <c r="G24" i="11"/>
  <c r="G35" i="11" l="1"/>
  <c r="G40" i="11"/>
  <c r="G8" i="11"/>
  <c r="G30" i="11"/>
  <c r="G12" i="11"/>
  <c r="G10" i="11"/>
  <c r="G36" i="11"/>
  <c r="E31" i="11"/>
  <c r="F45" i="11"/>
  <c r="F31" i="11"/>
  <c r="G9" i="11"/>
  <c r="G11" i="11"/>
  <c r="E26" i="11"/>
  <c r="G19" i="11"/>
  <c r="F26" i="11"/>
  <c r="G20" i="11"/>
  <c r="G18" i="11"/>
  <c r="G17" i="11"/>
  <c r="G7" i="11"/>
  <c r="D31" i="11"/>
  <c r="E45" i="11"/>
  <c r="G44" i="11"/>
  <c r="E13" i="11"/>
  <c r="D13" i="11"/>
  <c r="F13" i="11"/>
  <c r="G16" i="11"/>
  <c r="G29" i="11"/>
  <c r="D45" i="11"/>
  <c r="G4" i="11"/>
  <c r="G31" i="11" l="1"/>
  <c r="G45" i="11"/>
  <c r="G26" i="11"/>
  <c r="G13" i="11"/>
  <c r="G12" i="5" l="1"/>
  <c r="G10" i="5"/>
  <c r="G11" i="5"/>
  <c r="G4" i="5"/>
  <c r="E13" i="5"/>
  <c r="G8" i="5"/>
  <c r="D13" i="5"/>
  <c r="G7" i="5"/>
  <c r="G6" i="5"/>
  <c r="G9" i="5"/>
  <c r="F13" i="5"/>
  <c r="G13" i="5" l="1"/>
  <c r="F3" i="9"/>
  <c r="U78" i="4" l="1"/>
  <c r="U66" i="4"/>
  <c r="U85" i="4"/>
  <c r="U61" i="4"/>
  <c r="U87" i="4"/>
  <c r="U75" i="4"/>
  <c r="U80" i="4"/>
  <c r="U86" i="4"/>
  <c r="U55" i="4"/>
  <c r="U60" i="4"/>
  <c r="U77" i="4"/>
  <c r="U88" i="4"/>
  <c r="U76" i="4"/>
  <c r="U94" i="4"/>
  <c r="U79" i="4"/>
  <c r="U84" i="4"/>
  <c r="U67" i="4" l="1"/>
  <c r="U58" i="4"/>
  <c r="U82" i="4"/>
  <c r="U92" i="4"/>
  <c r="U91" i="4"/>
  <c r="U53" i="4"/>
  <c r="U89" i="4"/>
  <c r="U93" i="4"/>
  <c r="U83" i="4"/>
  <c r="U57" i="4"/>
  <c r="U90" i="4"/>
  <c r="U73" i="4"/>
  <c r="U74" i="4"/>
  <c r="U81" i="4"/>
  <c r="U59" i="4"/>
  <c r="G30" i="5" l="1"/>
  <c r="G29" i="5"/>
  <c r="F31" i="5"/>
  <c r="E31" i="5"/>
  <c r="D31" i="5"/>
  <c r="G21" i="5"/>
  <c r="G20" i="5"/>
  <c r="G22" i="5"/>
  <c r="G18" i="5"/>
  <c r="G17" i="5"/>
  <c r="G19" i="5"/>
  <c r="G16" i="5"/>
  <c r="G26" i="5" l="1"/>
  <c r="G31" i="5"/>
  <c r="F60" i="11"/>
</calcChain>
</file>

<file path=xl/sharedStrings.xml><?xml version="1.0" encoding="utf-8"?>
<sst xmlns="http://schemas.openxmlformats.org/spreadsheetml/2006/main" count="5399" uniqueCount="595">
  <si>
    <t>م</t>
  </si>
  <si>
    <t>التصنيف</t>
  </si>
  <si>
    <t>الرتبة</t>
  </si>
  <si>
    <t>ضابط</t>
  </si>
  <si>
    <t>عقيد شرطة</t>
  </si>
  <si>
    <t>محمد ميرغني عبد الرحمن نميري</t>
  </si>
  <si>
    <t>موظف</t>
  </si>
  <si>
    <t>لواء شرطة (م)</t>
  </si>
  <si>
    <t>نصر الدين خليل محمود خيري</t>
  </si>
  <si>
    <t>عميد شرطة (م)</t>
  </si>
  <si>
    <t>عادل حسن السيد سيد احمد</t>
  </si>
  <si>
    <t>طارق رحمة عبد القادر محمد</t>
  </si>
  <si>
    <t>مقدم شرطة</t>
  </si>
  <si>
    <t>خالد علي اسماعيل عثمان</t>
  </si>
  <si>
    <t>زياد حسب الرسول محمد ابو الريش</t>
  </si>
  <si>
    <t>مازن محمد امين خليل</t>
  </si>
  <si>
    <t>مدثر تاج السر عبد الدائم محمد</t>
  </si>
  <si>
    <t>معتز احمد محمد السماني</t>
  </si>
  <si>
    <t>الجعلي محمد احمد حسن</t>
  </si>
  <si>
    <t>شرف الدين عبد الفتاح خالد</t>
  </si>
  <si>
    <t>رائد شرطة</t>
  </si>
  <si>
    <t>محمد احمد عمر محمد بله</t>
  </si>
  <si>
    <t>محمد ابراهيم احمد حميدة</t>
  </si>
  <si>
    <t>محمد عمر محمد مساعد</t>
  </si>
  <si>
    <t>مزمل سعيد عبد الرحمن حسين</t>
  </si>
  <si>
    <t>عبدالحليم عبدالله عبدالحليم محمد</t>
  </si>
  <si>
    <t>الفاضل احمد عبد الرحيم عثمان</t>
  </si>
  <si>
    <t>خالد عبد الله محمد عمر</t>
  </si>
  <si>
    <t>رانيا احمد محمد احمد حامد</t>
  </si>
  <si>
    <t>بكري محمد التجاني الفكي</t>
  </si>
  <si>
    <t>محمود محمد عثمان فضل</t>
  </si>
  <si>
    <t>الشيخ ناصر الشيخ</t>
  </si>
  <si>
    <t>نادر بشير علي محمد بخيت</t>
  </si>
  <si>
    <t>ابوبكر الصديق محمد ابراهيم محمد</t>
  </si>
  <si>
    <t>خالد عبدالرازق ابراهيم حسن</t>
  </si>
  <si>
    <t>نقيب شرطة</t>
  </si>
  <si>
    <t>مهيد محمد علي منصور</t>
  </si>
  <si>
    <t>شيماء محمد نور عبد الماجد</t>
  </si>
  <si>
    <t>مروة وداعة علي محمد عثمان</t>
  </si>
  <si>
    <t>اسماعيل شاكر عمر قبسة</t>
  </si>
  <si>
    <t>عبد المهيمن بله حمد فضل الله</t>
  </si>
  <si>
    <t>احمد عبدالله عبدالحليم محمد</t>
  </si>
  <si>
    <t>نقيب شرطة (م)</t>
  </si>
  <si>
    <t>وليد عبدالله عبدالكريم الصديق</t>
  </si>
  <si>
    <t>ابراهيم محمد المبارك محمد</t>
  </si>
  <si>
    <t xml:space="preserve">مبشر سيد احمد ابراهيم </t>
  </si>
  <si>
    <t>ملازم أول شرطة</t>
  </si>
  <si>
    <t>البراء كمال بابكر عمر</t>
  </si>
  <si>
    <t>انس عبد الرحمن علي الحسن</t>
  </si>
  <si>
    <t>مجاهد عادل عبدالله</t>
  </si>
  <si>
    <t>صف ضابط</t>
  </si>
  <si>
    <t>مساعد شرطة</t>
  </si>
  <si>
    <t>ايمن عثمان بخيت علي</t>
  </si>
  <si>
    <t>محمد أحمد الخضر أحمد</t>
  </si>
  <si>
    <t>الهام عثمان خليفة نمر</t>
  </si>
  <si>
    <t>محمد شريف محمد</t>
  </si>
  <si>
    <t>محمد محي الدين حسب الله</t>
  </si>
  <si>
    <t>عثمان عمر احمد ابكر</t>
  </si>
  <si>
    <t>مزمل البشير العبيد احمد</t>
  </si>
  <si>
    <t>محمد عوض دفع الله احمد</t>
  </si>
  <si>
    <t>صلاح الدين بشير بركة</t>
  </si>
  <si>
    <t>نسرين محمد تاج السر</t>
  </si>
  <si>
    <t>اميرة دقاش سعد دليل</t>
  </si>
  <si>
    <t>يونس علي نور الدين حامد</t>
  </si>
  <si>
    <t>صفاء عبد النور سليمان عبد النور</t>
  </si>
  <si>
    <t>ثويبة عثمان الهادي محمد</t>
  </si>
  <si>
    <t>منير سيد احمد بابكر هلالي</t>
  </si>
  <si>
    <t>ياسر دفع الله يوسف موسي</t>
  </si>
  <si>
    <t>محمود الصادق حسين محمود</t>
  </si>
  <si>
    <t>مصطفى عبد الله جادكريم الامام</t>
  </si>
  <si>
    <t>النور عثمان برام جاد الله</t>
  </si>
  <si>
    <t>بكري مقدم سالمين الضو</t>
  </si>
  <si>
    <t>خليفة ابوه كرتكيلا علي</t>
  </si>
  <si>
    <t>سمؤل عوض الله مهيوب محمد</t>
  </si>
  <si>
    <t>ابراهيم دفع الله اسحاق منصور</t>
  </si>
  <si>
    <t>سامي مهدي خرطوم سفور</t>
  </si>
  <si>
    <t>سلمى عثمان يونس عثمان</t>
  </si>
  <si>
    <t>عثمان عبد الرحمن عثمان</t>
  </si>
  <si>
    <t>عثمان وقيع الله عثمان وقيع الله</t>
  </si>
  <si>
    <t>انس ضحية بردول ارقين</t>
  </si>
  <si>
    <t xml:space="preserve">ناجي السر محمد خير </t>
  </si>
  <si>
    <t>رقيب اول شرطة</t>
  </si>
  <si>
    <t>اقبال عبد الله مبروك عبد الله</t>
  </si>
  <si>
    <t>منيرة جبريل الحسين الحسن</t>
  </si>
  <si>
    <t>رانيا ادم اسحق الوالي</t>
  </si>
  <si>
    <t>ندى عمر حامد عيسى</t>
  </si>
  <si>
    <t>الفاضل حامد الاحيمر كلمبي</t>
  </si>
  <si>
    <t>محمد احمد بخيت تيراب</t>
  </si>
  <si>
    <t>حامد حسن جاد الله محمد احمد</t>
  </si>
  <si>
    <t>محمد ناصر ادريس الحسن</t>
  </si>
  <si>
    <t>ماجد احمد حميدة</t>
  </si>
  <si>
    <t>سارة بله ابراهيم احمد</t>
  </si>
  <si>
    <t>عفراء السر عبد القادر الامين</t>
  </si>
  <si>
    <t>معاوية احمد علي عثمان</t>
  </si>
  <si>
    <t>محمد عبد الرحمن النو</t>
  </si>
  <si>
    <t>سهام محمد هبيلة</t>
  </si>
  <si>
    <t>صالح النور حسن ابكر</t>
  </si>
  <si>
    <t>محمد ضرار عبد الرسول اسماعيل</t>
  </si>
  <si>
    <t>سيد عماد سيد خميس</t>
  </si>
  <si>
    <t>يحي محمد المهدي الزبير</t>
  </si>
  <si>
    <t>صدام عمر علي محمد</t>
  </si>
  <si>
    <t>كوه كنو كافي ابو قنيت</t>
  </si>
  <si>
    <t>خنساء جعفر محمد احمد</t>
  </si>
  <si>
    <t>هشام هاشم علي طه</t>
  </si>
  <si>
    <t>الصديق عبد الله حبيب الله مصطفى</t>
  </si>
  <si>
    <t>هشام علي الطيب علي</t>
  </si>
  <si>
    <t xml:space="preserve">فاروق خميس محمد فرج الله </t>
  </si>
  <si>
    <t>عبد الله كومي كوكو كوجو</t>
  </si>
  <si>
    <t>نهال عبد العظيم سليمان حمد</t>
  </si>
  <si>
    <t>معتصم عبد الله مصطفى عبد الله</t>
  </si>
  <si>
    <t>رقيب شرطة</t>
  </si>
  <si>
    <t xml:space="preserve">عوض طه محجوب </t>
  </si>
  <si>
    <t>حامد عبد الدائم احمد محمد</t>
  </si>
  <si>
    <t>محمد احمد فضل الله سليمان</t>
  </si>
  <si>
    <t>اسماعيل ابراهيم محمد توم</t>
  </si>
  <si>
    <t>الشاذلي عثمان محمد علي</t>
  </si>
  <si>
    <t>امام عبد الله حسن احمد</t>
  </si>
  <si>
    <t>مزمل محمد احمد الامام</t>
  </si>
  <si>
    <t>ابو عاقلة حسين عبد الله دهب</t>
  </si>
  <si>
    <t>ميرفت عبد الجليل خضر شاؤول</t>
  </si>
  <si>
    <t>عبد الرحمن حمد النيل احمد</t>
  </si>
  <si>
    <t>معتصم محمد عثمان ابراهيم</t>
  </si>
  <si>
    <t>نصر الدين عبد الرحمن محمد الضاكر</t>
  </si>
  <si>
    <t>اسامة ازهري سيد احمد محمد صالح</t>
  </si>
  <si>
    <t>عريف شرطة</t>
  </si>
  <si>
    <t>معاوية خالد محمد</t>
  </si>
  <si>
    <t xml:space="preserve">مصطفي احمد داؤود مصطفي </t>
  </si>
  <si>
    <t>لويس جنوب جابر عدلان</t>
  </si>
  <si>
    <t>محاسن ابراهيم عبد الفتاح</t>
  </si>
  <si>
    <t>مصعب عبد الكريم تاج الدين بسطاوي</t>
  </si>
  <si>
    <t>حسن علي مكي سومي</t>
  </si>
  <si>
    <t>عمر ابكر ملامي ابكر</t>
  </si>
  <si>
    <t>مصعب احمد عيسي محمد</t>
  </si>
  <si>
    <t>حسب الرسول حسن محمد ابو الريش</t>
  </si>
  <si>
    <t>ياسر اسماعيل محمد عمر</t>
  </si>
  <si>
    <t>ياسر عبد الرحيم احمد</t>
  </si>
  <si>
    <t>الامين عيسي عمر عثمان</t>
  </si>
  <si>
    <t>سقراط باتريك التجاني مجان</t>
  </si>
  <si>
    <t>سالم الله جابو ادريس كافي</t>
  </si>
  <si>
    <t>وكيل عريف شرطة</t>
  </si>
  <si>
    <t>يعقوب صباحي احمد يحي</t>
  </si>
  <si>
    <t>هشام عثمان محمود محمد</t>
  </si>
  <si>
    <t>جندي شرطة</t>
  </si>
  <si>
    <t>سليم عبد الحليم محمد خير</t>
  </si>
  <si>
    <t>الصادق ابراهيم احمد صالح</t>
  </si>
  <si>
    <t>حسن عثمان حسن جميز</t>
  </si>
  <si>
    <t xml:space="preserve">الحسن أحمد محمد عمر </t>
  </si>
  <si>
    <t>محمود أنور ابراهيم الدالى</t>
  </si>
  <si>
    <t>لؤي إبراهيم علي العربي</t>
  </si>
  <si>
    <t>حازم صلاح الدين الشيخ ابو جديري</t>
  </si>
  <si>
    <t>امجد عبد الحليم احمد عبد الله</t>
  </si>
  <si>
    <t>احمد عمر صديق احمد</t>
  </si>
  <si>
    <t>احمد محمد موسى مدني</t>
  </si>
  <si>
    <t>ايمن عوض النيل ضحية</t>
  </si>
  <si>
    <t>امين محمد عبد الله ابراهيم</t>
  </si>
  <si>
    <t>معتصم حسن موسى حسن</t>
  </si>
  <si>
    <t>ماهر محمد عبد الله حمزة</t>
  </si>
  <si>
    <t>عبد القادر سبت عبد القادر بخيت</t>
  </si>
  <si>
    <t>عمر الطيب عبد الرحيم الشيخ</t>
  </si>
  <si>
    <t>عمار عبد الله محمد عبد الرازق</t>
  </si>
  <si>
    <t>عبد الرحمن خلف الله احمد عبد الباقي</t>
  </si>
  <si>
    <t>انتصار علي كوري عبد الله</t>
  </si>
  <si>
    <t>عبد الله عثمان محمد علي</t>
  </si>
  <si>
    <t>محمد خلف الله عمر عوض</t>
  </si>
  <si>
    <t>مروة عبد ربه سعيد فضل المولى</t>
  </si>
  <si>
    <t>الضو محمد حسين ابراهيم</t>
  </si>
  <si>
    <t>سمير الشيخ ادريس صالح</t>
  </si>
  <si>
    <t>فتحي عيسى ادم عيسى</t>
  </si>
  <si>
    <t>عماد الدين حسن علي محمد</t>
  </si>
  <si>
    <t>عز الدين بدوي الشيخ يوسف</t>
  </si>
  <si>
    <t>عمر محمد ادريس بابكر</t>
  </si>
  <si>
    <t>تاج السر احمد خضر سعيد</t>
  </si>
  <si>
    <t>معاذ محمد جبرو حمودة</t>
  </si>
  <si>
    <t>عبد الفتاح ابراهيم عبد الفتاح</t>
  </si>
  <si>
    <t>معاذ صالح ادريس ابراهيم</t>
  </si>
  <si>
    <t>وائل امام محمد التوم</t>
  </si>
  <si>
    <t>محمد أحمد الطيب يس</t>
  </si>
  <si>
    <t>محمد الحسن صلاح محمود الشناوي</t>
  </si>
  <si>
    <t>داؤود حسين سليمان علي</t>
  </si>
  <si>
    <t>عمر بابكر الامين الدرديري</t>
  </si>
  <si>
    <t>سامي عبد القادر صالح حسن</t>
  </si>
  <si>
    <t>علي محمد عبد الكريم حمدان</t>
  </si>
  <si>
    <t>الفاتح المهدي عبد اللطيف ادم</t>
  </si>
  <si>
    <t xml:space="preserve">عبد القادر احمد محمد علي </t>
  </si>
  <si>
    <t xml:space="preserve">منصور محمد إسماعيل مطر </t>
  </si>
  <si>
    <t>محمد تاج الدين خضر الجزولي</t>
  </si>
  <si>
    <t>عبد الله جعفر حسن محمد احمد</t>
  </si>
  <si>
    <t>محمد خليل ابراهيم محمد</t>
  </si>
  <si>
    <t>محمد البشير عبد القادر دفع الله</t>
  </si>
  <si>
    <t>محمد الطاهر علي محمد</t>
  </si>
  <si>
    <t>الادارة</t>
  </si>
  <si>
    <t>الإدارة العليا</t>
  </si>
  <si>
    <t>ادارة مصنع الوثائق</t>
  </si>
  <si>
    <t>الاستشاريين</t>
  </si>
  <si>
    <t>ادارة تطوير الاعمال</t>
  </si>
  <si>
    <t>الادارة الفنية</t>
  </si>
  <si>
    <t>ادارة المراجعة الداخلية</t>
  </si>
  <si>
    <t>ادارة الشئون الادارية</t>
  </si>
  <si>
    <t>ادارة الشئون المالية</t>
  </si>
  <si>
    <t>ادارة التخطيط والجودة</t>
  </si>
  <si>
    <t>ادارة الشئون القانونية</t>
  </si>
  <si>
    <t>المكتب التنفيذي</t>
  </si>
  <si>
    <t>ادارة العلاقات العامة</t>
  </si>
  <si>
    <t>ادارة الشئون الإدارية</t>
  </si>
  <si>
    <t>البداية</t>
  </si>
  <si>
    <t>الوضع الاداري</t>
  </si>
  <si>
    <t>منتدب</t>
  </si>
  <si>
    <t>عقد عمل مسمى الاجل</t>
  </si>
  <si>
    <t>عقد عمل خاص</t>
  </si>
  <si>
    <t>ملحق</t>
  </si>
  <si>
    <t>الفاتح احمد عبد الكريم ادريس</t>
  </si>
  <si>
    <t xml:space="preserve">خالد عباس عبدالرحمن </t>
  </si>
  <si>
    <t>عاطف عبدالرحيم محمد خير</t>
  </si>
  <si>
    <t>احمد ابراهيم احمد عبدالرحمن</t>
  </si>
  <si>
    <t>سالم حقار حسن كيكي</t>
  </si>
  <si>
    <t>جهاد العطا فضل الله فرح</t>
  </si>
  <si>
    <t>محمد معتصم هاشم احمد</t>
  </si>
  <si>
    <t>يحي محمد محجوب عوض الله</t>
  </si>
  <si>
    <t>حامد عبدالله يوسف عبدالخير</t>
  </si>
  <si>
    <t>ياسر سيد احمد منصور</t>
  </si>
  <si>
    <t xml:space="preserve">غسان التاج ابراهيم </t>
  </si>
  <si>
    <t>يوسف عباس محجوب</t>
  </si>
  <si>
    <t>ايمان عبدالرحمن سيد احمد</t>
  </si>
  <si>
    <t>سامح محمد عثمان محمد</t>
  </si>
  <si>
    <t>ياسر عبدالعليم محمد عبدالعليم</t>
  </si>
  <si>
    <t>خالد  محمد عثمان طه</t>
  </si>
  <si>
    <t>محمد سيف الدين محمد ابوزيد</t>
  </si>
  <si>
    <t>محمد نورالدين خضر مصطفي</t>
  </si>
  <si>
    <t>الضباط</t>
  </si>
  <si>
    <t>الموظفين</t>
  </si>
  <si>
    <t>ضباط الصف</t>
  </si>
  <si>
    <t>الجملة</t>
  </si>
  <si>
    <t>فهمي عبدالجليل عبدون</t>
  </si>
  <si>
    <t>مكان التواجد</t>
  </si>
  <si>
    <t>ولاية البحر الأحمر</t>
  </si>
  <si>
    <t>ولاية كسلا</t>
  </si>
  <si>
    <t>ولاية نهر النيل</t>
  </si>
  <si>
    <t>ولاية الجزيرة</t>
  </si>
  <si>
    <t>الولاية الشمالية</t>
  </si>
  <si>
    <t>ولاية النيل الأبيض</t>
  </si>
  <si>
    <t>عزة كمال عباس رجب</t>
  </si>
  <si>
    <t>ولاية الخرطوم</t>
  </si>
  <si>
    <t>ولاية سنار</t>
  </si>
  <si>
    <t>ولاية النيل الأزرق</t>
  </si>
  <si>
    <t>جعفر ابو محمد جعفرونتك</t>
  </si>
  <si>
    <t>محمد عبد الرحمن أحمد الماحي</t>
  </si>
  <si>
    <t>محمد عثمان أحمد محمد</t>
  </si>
  <si>
    <t xml:space="preserve">أحمد الفاضل الحاج فضل </t>
  </si>
  <si>
    <t>محمد عبد العزيز جعفر أحمد</t>
  </si>
  <si>
    <t>في العمل</t>
  </si>
  <si>
    <t>الوضع الحال</t>
  </si>
  <si>
    <t>خارج العمل</t>
  </si>
  <si>
    <t>داخلي</t>
  </si>
  <si>
    <t>خارجي</t>
  </si>
  <si>
    <t>فخرالدين بشير محمد أحمد</t>
  </si>
  <si>
    <t>الولاية</t>
  </si>
  <si>
    <t xml:space="preserve">الاســــــــــــــــــــــــــــم </t>
  </si>
  <si>
    <t>تنبيه</t>
  </si>
  <si>
    <t>الجهة الملحق / المنتدب منه</t>
  </si>
  <si>
    <t>الادارة العامة للمراجعة الداخلية</t>
  </si>
  <si>
    <t>الادارة العامة للشئون المالية</t>
  </si>
  <si>
    <t>الادارة العامة للجوازات والهجرة</t>
  </si>
  <si>
    <t>الادارة العامة للشئون القانونية</t>
  </si>
  <si>
    <t>دار الشرطة</t>
  </si>
  <si>
    <t>شرطة ولاية الخرطوم</t>
  </si>
  <si>
    <t>الادارة العامة للسجل المدني</t>
  </si>
  <si>
    <t>الادارة العامة لتأمين منشأت النفط</t>
  </si>
  <si>
    <t>رئاسة الشرطة</t>
  </si>
  <si>
    <t>الادارة العامة للحوسبة والاتصالات</t>
  </si>
  <si>
    <t>المكتب التنفيذي للرئاسة</t>
  </si>
  <si>
    <t>عدد الايام المتبقية</t>
  </si>
  <si>
    <t>عدد الشهور</t>
  </si>
  <si>
    <t>مدة العقد بالسنين</t>
  </si>
  <si>
    <t>نهاية العقد</t>
  </si>
  <si>
    <t>جمهورية مصر</t>
  </si>
  <si>
    <t>معتز ادم محمود سليطين</t>
  </si>
  <si>
    <t>الطيب احمد ابراهيم</t>
  </si>
  <si>
    <t>محمد طه مصطفى علي</t>
  </si>
  <si>
    <t>ولاية النيل الازرق</t>
  </si>
  <si>
    <t>ولاية غرب كردفان</t>
  </si>
  <si>
    <t>النوع</t>
  </si>
  <si>
    <t>ضباط</t>
  </si>
  <si>
    <t>الرقم</t>
  </si>
  <si>
    <t>زمن الحضور</t>
  </si>
  <si>
    <t>زمن الخروج</t>
  </si>
  <si>
    <t>بسم الله الرحمن الرحيم</t>
  </si>
  <si>
    <t>شركة سي دي اس المحدودة</t>
  </si>
  <si>
    <t xml:space="preserve">الحضور والانصراف ليوم الخميس الموافق  </t>
  </si>
  <si>
    <t>التوزيع حسب الإدارات</t>
  </si>
  <si>
    <t>التوزيع حسب مكان التواجد</t>
  </si>
  <si>
    <t>التوزيع حسب موقف العمل</t>
  </si>
  <si>
    <t>مزمل بشير العبيد احمد</t>
  </si>
  <si>
    <t>مكان السكن</t>
  </si>
  <si>
    <t>خاص</t>
  </si>
  <si>
    <t>تصنيف السكن</t>
  </si>
  <si>
    <t>السكن (أ)</t>
  </si>
  <si>
    <t>السكن (ب)</t>
  </si>
  <si>
    <t>جعفر ابو محمد جعفر ونتك</t>
  </si>
  <si>
    <t>التوزيع حسب السكن بولاية البحر الأحمر</t>
  </si>
  <si>
    <t>التوزيع موقف الإسكان بولاية البحر الأحمر</t>
  </si>
  <si>
    <t>نوع السكن</t>
  </si>
  <si>
    <t>سامي عزالدين محمد ابوعلامة</t>
  </si>
  <si>
    <t>نادر محمد ضو ضو</t>
  </si>
  <si>
    <t>عمر عبدالرحمن محمد عبداللطيف</t>
  </si>
  <si>
    <t>نوع الانتساب</t>
  </si>
  <si>
    <t xml:space="preserve">توزيع الموظفين حسب نوع عقد العمل </t>
  </si>
  <si>
    <t>عقد عمل مسمي الاجل</t>
  </si>
  <si>
    <t>العدد</t>
  </si>
  <si>
    <t>غسان التاج ابراهيم  عبدالرحمن</t>
  </si>
  <si>
    <t>الاصـــل</t>
  </si>
  <si>
    <t>المنتصر عبدالله حاج التوم</t>
  </si>
  <si>
    <t>يوسف عباس محجوب احمد</t>
  </si>
  <si>
    <t>امين محمد عبدالله ابراهيم</t>
  </si>
  <si>
    <t>عبد الله مصطفي عبدالرحمن محمد</t>
  </si>
  <si>
    <t>الاســـــــــــــــــــــــــــــــم</t>
  </si>
  <si>
    <t>تاريخ بداية الاجازة</t>
  </si>
  <si>
    <t>تاريخ نهاية الاجازة</t>
  </si>
  <si>
    <t>عدد أيام الاجازة</t>
  </si>
  <si>
    <t>رصيد الاجازة</t>
  </si>
  <si>
    <t>عثمان عبدالرحمن عثمان عيسي</t>
  </si>
  <si>
    <t>مدثر تاج السر عبدالدائم محمد</t>
  </si>
  <si>
    <t>احمد عمر صديق</t>
  </si>
  <si>
    <t>خالد محمد عثمان طه</t>
  </si>
  <si>
    <t>محمد عثمان احمد محمد</t>
  </si>
  <si>
    <t>سامي عبدالقادر صالح حسن</t>
  </si>
  <si>
    <t xml:space="preserve">يوسف عباس محجوب احمد </t>
  </si>
  <si>
    <t>امجد عبدالحليم احمد عبدالله</t>
  </si>
  <si>
    <t>19/9/2023</t>
  </si>
  <si>
    <t>محمد ياسر محمد ادريس</t>
  </si>
  <si>
    <t>متدرب</t>
  </si>
  <si>
    <t>ملحوظة</t>
  </si>
  <si>
    <t>احمد محمد موسي مدني</t>
  </si>
  <si>
    <t>محمد عمر احمد محمد بله</t>
  </si>
  <si>
    <t>احمد مبارك علي سعيد</t>
  </si>
  <si>
    <t>الغرفة</t>
  </si>
  <si>
    <t xml:space="preserve">نادر بشير علي محمد </t>
  </si>
  <si>
    <t>المشروع</t>
  </si>
  <si>
    <t>صندوق التأمين الاجتماعي</t>
  </si>
  <si>
    <t>ايصالي</t>
  </si>
  <si>
    <t>بطاقة الشرطة</t>
  </si>
  <si>
    <t>الجواز الدبلوماسي</t>
  </si>
  <si>
    <t>السجل المدني / البصمة الجنائية</t>
  </si>
  <si>
    <t>الشئون الإدارية</t>
  </si>
  <si>
    <t>السجون</t>
  </si>
  <si>
    <t>الجواز الالكتروني</t>
  </si>
  <si>
    <t>المرور</t>
  </si>
  <si>
    <t>القسم</t>
  </si>
  <si>
    <t>شرف الدين عبدالفتاح خالد</t>
  </si>
  <si>
    <t>طارق رحمة عبدالقادر محمد</t>
  </si>
  <si>
    <t>للعام 2025</t>
  </si>
  <si>
    <t>مجتبى الطيب احمد عمر</t>
  </si>
  <si>
    <t>تدريب</t>
  </si>
  <si>
    <t>الراتب</t>
  </si>
  <si>
    <t>انس عبدالرحمن علي الحسن</t>
  </si>
  <si>
    <t>سبعة ايام عطلة تسترد لرصيد اجازاته</t>
  </si>
  <si>
    <t>محمد الصادق الفاضل سليمان</t>
  </si>
  <si>
    <t>محمد عبدالرحمن احمد الماحي</t>
  </si>
  <si>
    <t>الصفة</t>
  </si>
  <si>
    <t>م+A1:F25</t>
  </si>
  <si>
    <t>اول عقد</t>
  </si>
  <si>
    <t>تيسير حمزه محمد عثمان بابكر</t>
  </si>
  <si>
    <t>محمد احمد الخضر احمد</t>
  </si>
  <si>
    <t>مثاني ياسر عبدالرحمن عليش</t>
  </si>
  <si>
    <t>توزيع (الضباط - ضباط الصف - الجنود) حسب الالحاق / الانتداب/منقول</t>
  </si>
  <si>
    <t>مدة العقد</t>
  </si>
  <si>
    <t>عدد ايام العقد</t>
  </si>
  <si>
    <t>قوات الجمارك</t>
  </si>
  <si>
    <t>ذكر</t>
  </si>
  <si>
    <t>انثي</t>
  </si>
  <si>
    <t>التوزيع حسب نوع الجنس</t>
  </si>
  <si>
    <t>شرف الدين عبدالفتاح خالد محمد</t>
  </si>
  <si>
    <t>عمرو كمال بابكر عمر</t>
  </si>
  <si>
    <t>عصمت علي ادريس محمد</t>
  </si>
  <si>
    <t>مجاهد عادل عبدالله احمد</t>
  </si>
  <si>
    <t>عثمان عبد الرحمن عثمان عيسي</t>
  </si>
  <si>
    <t xml:space="preserve"> النوع</t>
  </si>
  <si>
    <t>البوابة الالكترونية</t>
  </si>
  <si>
    <t xml:space="preserve"> المرور</t>
  </si>
  <si>
    <t>ايصالات الشرطة</t>
  </si>
  <si>
    <t>المشاريع  التقنية</t>
  </si>
  <si>
    <t>ict</t>
  </si>
  <si>
    <t>التخليص الجمركي</t>
  </si>
  <si>
    <t xml:space="preserve">التصميم </t>
  </si>
  <si>
    <t>المبيعات</t>
  </si>
  <si>
    <t>الحسابات</t>
  </si>
  <si>
    <t>المشاريع التقنية</t>
  </si>
  <si>
    <t xml:space="preserve">الدعم اللوجستي </t>
  </si>
  <si>
    <t>المخازن</t>
  </si>
  <si>
    <t>التحصيل</t>
  </si>
  <si>
    <t>الدعم اللوجستي</t>
  </si>
  <si>
    <t>الموارد البشرية</t>
  </si>
  <si>
    <t>الصيانة</t>
  </si>
  <si>
    <t>الصيانة الجوازت</t>
  </si>
  <si>
    <t xml:space="preserve">المشروعات التقنية </t>
  </si>
  <si>
    <t>الشروعات التقنية</t>
  </si>
  <si>
    <t>عادل محمد الحسن احمد حمد</t>
  </si>
  <si>
    <t>سامر شرف الدين احمد محمد</t>
  </si>
  <si>
    <t>الشيخ ناصر الشيخ ناصر</t>
  </si>
  <si>
    <t>هبة عصام الدين عبدالمحمود الطيب</t>
  </si>
  <si>
    <t xml:space="preserve">عبد الرحمن ابو القاسم صالح </t>
  </si>
  <si>
    <t>فتحي عيسى ادم محمد</t>
  </si>
  <si>
    <t>شهر</t>
  </si>
  <si>
    <t>محمد الفاتح محمد عبدالله</t>
  </si>
  <si>
    <t>شيماء محمد نور عبدالماجد</t>
  </si>
  <si>
    <t>امام عبدالله حسن احمد</t>
  </si>
  <si>
    <t>خالد عمر احمد ابراهيم</t>
  </si>
  <si>
    <t>فخر الدين بشير محمد احمد</t>
  </si>
  <si>
    <t>علي محمد عبدالكريم حمدان</t>
  </si>
  <si>
    <t>الحسن احمد محمد عمر</t>
  </si>
  <si>
    <t>ناصر الهادي بابكر محمد</t>
  </si>
  <si>
    <t>احمد مجدي كمال الدين الشيخ</t>
  </si>
  <si>
    <t>بالولايات</t>
  </si>
  <si>
    <t>الولايات</t>
  </si>
  <si>
    <t>الشركة</t>
  </si>
  <si>
    <t>في الشركة</t>
  </si>
  <si>
    <t>احمد المصطفي فيصل كباشي محمد</t>
  </si>
  <si>
    <t>الادارة العامة للموارد البشرية</t>
  </si>
  <si>
    <t>اكرم عبيد عوض الكريم محمد</t>
  </si>
  <si>
    <t>احمد عاطف محمد بسطان</t>
  </si>
  <si>
    <t>مبارك عبد الحفيظ علي الحاج</t>
  </si>
  <si>
    <t>شريف بابكر عبد الله محمد</t>
  </si>
  <si>
    <t>مجند</t>
  </si>
  <si>
    <t>السكن (ج)</t>
  </si>
  <si>
    <t>أبو زيد محمد مصطفي احمد</t>
  </si>
  <si>
    <t>المشروعات التقنية - المرور- الصيانة</t>
  </si>
  <si>
    <t>المشروعات التقنية-المرور- الصيانة</t>
  </si>
  <si>
    <t>تم ايقاف التدريب 8/3/2025</t>
  </si>
  <si>
    <t>استقالة بتاريخ 26/03/2025</t>
  </si>
  <si>
    <t>النذير محمد محمد احمد</t>
  </si>
  <si>
    <t>خارج السودان</t>
  </si>
  <si>
    <t xml:space="preserve">صلاح الدين طه محمد أحمد </t>
  </si>
  <si>
    <t>الدعم اللوجستي والتأمين</t>
  </si>
  <si>
    <t>ناقص مستندات + عقد</t>
  </si>
  <si>
    <t>ناقص مستندات + عقد+ شهادات</t>
  </si>
  <si>
    <t>ناقص مستندات+عقد+شهادات</t>
  </si>
  <si>
    <t>مكتمل</t>
  </si>
  <si>
    <t>مستندات +شهادات اكاديمية</t>
  </si>
  <si>
    <t xml:space="preserve"> ناقص شهادة اكاديمية</t>
  </si>
  <si>
    <t>ناقص شهادات اكاديمية</t>
  </si>
  <si>
    <t>ناقص عقد</t>
  </si>
  <si>
    <t>ناقص مستندات +شهادات اكاديمية</t>
  </si>
  <si>
    <t>ناقص مستندات+عقد</t>
  </si>
  <si>
    <t>ناقص مستندات +شهادات اكاديمية+عقد</t>
  </si>
  <si>
    <t>ناقص مستندات+ شهادة اكاديمية</t>
  </si>
  <si>
    <t>ناقص مستندات</t>
  </si>
  <si>
    <t>ناقص مستندات+شهادات</t>
  </si>
  <si>
    <t>ناقص مستندات+عقد+ شهادات</t>
  </si>
  <si>
    <t>مستندات+ تبويب</t>
  </si>
  <si>
    <t>ناقص مستندات+شهادات اكاديمية</t>
  </si>
  <si>
    <t>مستنادت +شهادات اكاديمية</t>
  </si>
  <si>
    <t>ناقص مستندات+ شهادات+عقد</t>
  </si>
  <si>
    <t>ناقص مستندات+ شهادات</t>
  </si>
  <si>
    <t>ناقص مستندات+ عقد</t>
  </si>
  <si>
    <t>محمد محي الدين حسب الله فضل المولي</t>
  </si>
  <si>
    <t>شهادات اكاديمية</t>
  </si>
  <si>
    <t>43 يوم</t>
  </si>
  <si>
    <t>تبويب+مستندات+عقد</t>
  </si>
  <si>
    <t>مستندات+شهادات اكاديمية</t>
  </si>
  <si>
    <t>مستندات +شهادات اكاديمية+تبويب</t>
  </si>
  <si>
    <t>مدير ادارة</t>
  </si>
  <si>
    <t>رئيس قسم</t>
  </si>
  <si>
    <t>سائق</t>
  </si>
  <si>
    <t>حالة العقد</t>
  </si>
  <si>
    <t>اسم الموظف</t>
  </si>
  <si>
    <t>نوع التنبيه</t>
  </si>
  <si>
    <t>الأيام المتبقية</t>
  </si>
  <si>
    <t>تاريخ نهاية العقد</t>
  </si>
  <si>
    <t>المتدربين والمجندين</t>
  </si>
  <si>
    <t>احمد سفيان عبد الوهاب حمد</t>
  </si>
  <si>
    <t>علا عيسي مهدي محمد</t>
  </si>
  <si>
    <t>صالح دفع الله محمد عبد الله</t>
  </si>
  <si>
    <t>احمد التجاني ادم الطاهر</t>
  </si>
  <si>
    <t>بدر الدين  عثمان متولي علي</t>
  </si>
  <si>
    <t>ياسر محمد صالح محمد</t>
  </si>
  <si>
    <t>نزار عبده محمد نور ابوبكر</t>
  </si>
  <si>
    <t>عبدالباقي أحمد عثمان عمر</t>
  </si>
  <si>
    <t>السكن (د)</t>
  </si>
  <si>
    <t>المشروعات التقنية</t>
  </si>
  <si>
    <t>المدير العام</t>
  </si>
  <si>
    <t>عامل</t>
  </si>
  <si>
    <t>متعاقد</t>
  </si>
  <si>
    <t>توزيعات القوة العاملة باشركة</t>
  </si>
  <si>
    <t>الطاهر محمد احمد ابكر</t>
  </si>
  <si>
    <t>الدرجة</t>
  </si>
  <si>
    <t>العلاوة</t>
  </si>
  <si>
    <t>الثالثة</t>
  </si>
  <si>
    <t>الرابعة</t>
  </si>
  <si>
    <t>الخامسة</t>
  </si>
  <si>
    <t>السابعة</t>
  </si>
  <si>
    <t>الثامنة</t>
  </si>
  <si>
    <t>التاسعة</t>
  </si>
  <si>
    <t>العاشرة</t>
  </si>
  <si>
    <t>الحادية عشر</t>
  </si>
  <si>
    <t>الثانية عشر</t>
  </si>
  <si>
    <t>المعتز علي احمد فضل</t>
  </si>
  <si>
    <t>مهند عبدالرحمن علي عبدالرحمن</t>
  </si>
  <si>
    <t>عدد سنوات الخدمة</t>
  </si>
  <si>
    <t xml:space="preserve"> </t>
  </si>
  <si>
    <t>حسام الدين بشير علي محمد</t>
  </si>
  <si>
    <t>مروان سلام السيد عدلان</t>
  </si>
  <si>
    <t>نهاية العقد الحالي</t>
  </si>
  <si>
    <t>تاريخ دخول الخدمة</t>
  </si>
  <si>
    <t>الرتبة/ الصفة</t>
  </si>
  <si>
    <t>مازن عبدالرحمن احمد محمد</t>
  </si>
  <si>
    <t>بداية العقد الحالي</t>
  </si>
  <si>
    <t>14/10/2025</t>
  </si>
  <si>
    <t>ل</t>
  </si>
  <si>
    <t>تاريخ التعاقد</t>
  </si>
  <si>
    <t>محمد  عمر محمد مساعد</t>
  </si>
  <si>
    <t>الرقم الوطني</t>
  </si>
  <si>
    <t>ملاحظات</t>
  </si>
  <si>
    <t>احمد عمر احمد الريح</t>
  </si>
  <si>
    <t>محمد عبد المنعم عطية كوكو</t>
  </si>
  <si>
    <t>محمد الفاتح محمد عبدالله سيراب</t>
  </si>
  <si>
    <t>معاذ محمد جبرو  حموده</t>
  </si>
  <si>
    <t>هديل محمد خير سر الختم</t>
  </si>
  <si>
    <t>الإدارة العامة للموارد البشرية</t>
  </si>
  <si>
    <t>مزمل امين موسي محمد</t>
  </si>
  <si>
    <t>عمار  عبدالله محمد عبدالرزاق</t>
  </si>
  <si>
    <t>محمد عبدالباقي موسى صالح</t>
  </si>
  <si>
    <t>عادل حسن السيد  سيد أحمد</t>
  </si>
  <si>
    <t>الإستشاريين</t>
  </si>
  <si>
    <t>الثانية</t>
  </si>
  <si>
    <t>مستشار</t>
  </si>
  <si>
    <t>السكرتارية</t>
  </si>
  <si>
    <t>التأهيل الأكاديمي</t>
  </si>
  <si>
    <t xml:space="preserve">الإدارة الفنية </t>
  </si>
  <si>
    <t>الطاهر محمد أحمد  أبكر الدقو</t>
  </si>
  <si>
    <t>جمال عباس مدني حميدة</t>
  </si>
  <si>
    <t>سعد عمر مختار عثمان</t>
  </si>
  <si>
    <t>عبدالباقي رابح غانم دياب</t>
  </si>
  <si>
    <t>أحمد المصطفى فيصل كباشي</t>
  </si>
  <si>
    <t>مدير عام</t>
  </si>
  <si>
    <t>فصل عن العمل للغياب</t>
  </si>
  <si>
    <t>فصل للعمل لعدم الحوجة</t>
  </si>
  <si>
    <t>النيل الأزرق</t>
  </si>
  <si>
    <t>مشروع المرور</t>
  </si>
  <si>
    <t>صبا قسم الخالق سراج</t>
  </si>
  <si>
    <t>تسنيم الطيب عوض الأمين</t>
  </si>
  <si>
    <t>السكن ام درمان</t>
  </si>
  <si>
    <t>السكن بورتسودان</t>
  </si>
  <si>
    <t>السكن عطبرة</t>
  </si>
  <si>
    <t>مكان العمل</t>
  </si>
  <si>
    <t>الشهادة الأكاديمية</t>
  </si>
  <si>
    <t>تاريخ الميلاد</t>
  </si>
  <si>
    <t>تاريخ منح المؤهل</t>
  </si>
  <si>
    <t>المؤهل الأكاديمي</t>
  </si>
  <si>
    <t>بكالوريوس</t>
  </si>
  <si>
    <t>بكالوريوس+ ماجستير</t>
  </si>
  <si>
    <t xml:space="preserve"> هندسة كهرباء- الكترونيات وإتصالات</t>
  </si>
  <si>
    <t xml:space="preserve"> نظم معلومات مكتبية</t>
  </si>
  <si>
    <t>دبلوم</t>
  </si>
  <si>
    <t>هندسة ميكانيكا</t>
  </si>
  <si>
    <t>هندسة حاسوب</t>
  </si>
  <si>
    <t>لايوجد</t>
  </si>
  <si>
    <t>البرمجيات</t>
  </si>
  <si>
    <t>علوم -نظم معلومات إدارية</t>
  </si>
  <si>
    <t>عقد تدريب</t>
  </si>
  <si>
    <t>الوحدة الأم</t>
  </si>
  <si>
    <t>الإدارة العامة للمراجعة الداخلية</t>
  </si>
  <si>
    <t>الادارة العامة لطيران الشرطة</t>
  </si>
  <si>
    <t>الادارة العامة لتأمين منشئات النفط</t>
  </si>
  <si>
    <t>الإدارة العامة للمرور</t>
  </si>
  <si>
    <t>علوم حاسوب وتكنولوجيا المعلومات</t>
  </si>
  <si>
    <t>علوم حاسوب</t>
  </si>
  <si>
    <t>نظم معلومات</t>
  </si>
  <si>
    <t>هندسة الكترونيات</t>
  </si>
  <si>
    <t>شهادة ثانوية</t>
  </si>
  <si>
    <t>احمد عمر احمد الريح عبدالباقي</t>
  </si>
  <si>
    <t>تقنية معلومات</t>
  </si>
  <si>
    <t>ناقص تبويب</t>
  </si>
  <si>
    <t>مركز القاهر التعليمي علوم حاسوب</t>
  </si>
  <si>
    <t>دبلوم - سنتين</t>
  </si>
  <si>
    <t>العقد منتهي</t>
  </si>
  <si>
    <t>مركز تدريب مهني</t>
  </si>
  <si>
    <t>كهرباء عامة</t>
  </si>
  <si>
    <t xml:space="preserve">هندسة كمبيوتر </t>
  </si>
  <si>
    <t>ناقص مستندات ثبويتة</t>
  </si>
  <si>
    <t>موقف الخدمة المستديمة</t>
  </si>
  <si>
    <t>موقف الدخول في الخدمة المستديمة</t>
  </si>
  <si>
    <t>خدمة مستديمة</t>
  </si>
  <si>
    <t>عقد عمل اول</t>
  </si>
  <si>
    <t>ناقص مستندات اكاديمية</t>
  </si>
  <si>
    <t>ناقص شهادة بكالوريوس</t>
  </si>
  <si>
    <t>هندسة كمبيوتر</t>
  </si>
  <si>
    <t>ناقص عقودات مستندات اكاديمية</t>
  </si>
  <si>
    <t>ناقص مستندات ثبوتية</t>
  </si>
  <si>
    <t>ناقص مستندات ثبوتية+عقودات+اكاديمية</t>
  </si>
  <si>
    <t>شهادة ثانوية- عربية المملكة العربية السعودية</t>
  </si>
  <si>
    <t>هندسة نظم إتصالات</t>
  </si>
  <si>
    <t>باكالوريوس+دبلوم</t>
  </si>
  <si>
    <t>علوم حاسوب+دبلوم  أدارة اعمال</t>
  </si>
  <si>
    <t>اجازة بدون مرتب</t>
  </si>
  <si>
    <t>تقانة المعلومات</t>
  </si>
  <si>
    <t>عقد عمل ثاني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</si>
</sst>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;@"/>
    <numFmt numFmtId="165" formatCode="yyyy/mm/dd;@"/>
    <numFmt numFmtId="166" formatCode="yy/mm/dd;@"/>
    <numFmt numFmtId="167" formatCode="[$-2000000]0"/>
    <numFmt numFmtId="168" formatCode="[$-2010000]yyyy/mm/dd;@"/>
  </numFmts>
  <fonts count="28">
    <font>
      <sz val="11"/>
      <color theme="1"/>
      <name val="Arial"/>
      <family val="2"/>
      <scheme val="minor"/>
    </font>
    <font>
      <sz val="14"/>
      <color theme="1"/>
      <name val="MCS Taybah S_U normal."/>
      <charset val="178"/>
    </font>
    <font>
      <sz val="11"/>
      <color theme="1"/>
      <name val="Arial"/>
      <family val="2"/>
      <charset val="178"/>
      <scheme val="minor"/>
    </font>
    <font>
      <sz val="14"/>
      <color theme="1"/>
      <name val="MCS Taybah S_U normal."/>
      <charset val="178"/>
    </font>
    <font>
      <sz val="16"/>
      <color theme="1"/>
      <name val="MCS Taybah S_U normal."/>
      <charset val="178"/>
    </font>
    <font>
      <b/>
      <sz val="16"/>
      <color theme="1"/>
      <name val="MCS Taybah S_U normal."/>
      <charset val="178"/>
    </font>
    <font>
      <sz val="20"/>
      <color theme="1"/>
      <name val="MCS Taybah S_U normal."/>
      <charset val="178"/>
    </font>
    <font>
      <sz val="22"/>
      <color theme="1"/>
      <name val="MCS Taybah S_U normal."/>
      <charset val="178"/>
    </font>
    <font>
      <sz val="24"/>
      <color theme="1"/>
      <name val="MCS Taybah S_U normal."/>
      <charset val="178"/>
    </font>
    <font>
      <sz val="24"/>
      <color theme="1"/>
      <name val="Arial"/>
      <family val="2"/>
      <scheme val="minor"/>
    </font>
    <font>
      <sz val="19"/>
      <color rgb="FF000000"/>
      <name val="MCS Taybah S_U normal."/>
      <charset val="178"/>
    </font>
    <font>
      <sz val="18"/>
      <color theme="1"/>
      <name val="MCS Taybah S_U normal."/>
      <charset val="178"/>
    </font>
    <font>
      <sz val="36"/>
      <color theme="1"/>
      <name val="Arial"/>
      <family val="2"/>
      <scheme val="minor"/>
    </font>
    <font>
      <sz val="18"/>
      <color theme="0"/>
      <name val="MCS Taybah S_U normal."/>
      <charset val="178"/>
    </font>
    <font>
      <sz val="11"/>
      <color theme="1"/>
      <name val="Arial"/>
      <family val="2"/>
      <scheme val="minor"/>
    </font>
    <font>
      <sz val="12"/>
      <color theme="1"/>
      <name val="MCS Taybah S_U normal."/>
      <charset val="178"/>
    </font>
    <font>
      <sz val="8"/>
      <name val="Arial"/>
      <family val="2"/>
      <scheme val="minor"/>
    </font>
    <font>
      <sz val="48"/>
      <color theme="1"/>
      <name val="MCS Taybah S_U normal."/>
      <charset val="178"/>
    </font>
    <font>
      <sz val="4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1"/>
      <color theme="1"/>
      <name val="MCS Taybah S_U normal."/>
      <charset val="178"/>
    </font>
    <font>
      <sz val="9"/>
      <color theme="1"/>
      <name val="MCS Taybah S_U normal."/>
      <charset val="178"/>
    </font>
    <font>
      <sz val="11"/>
      <color rgb="FF000000"/>
      <name val="Arial"/>
      <family val="2"/>
    </font>
    <font>
      <sz val="40"/>
      <color rgb="FFFF0000"/>
      <name val="MCS Taybah S_U normal."/>
      <charset val="178"/>
    </font>
    <font>
      <sz val="15"/>
      <color theme="1"/>
      <name val="MCS Taybah S_U normal."/>
      <charset val="178"/>
    </font>
    <font>
      <b/>
      <sz val="14"/>
      <color theme="1"/>
      <name val="MCS Taybah S_U normal"/>
    </font>
    <font>
      <sz val="14"/>
      <color theme="1"/>
      <name val="MCS Taybah S_U normal"/>
    </font>
    <font>
      <sz val="16"/>
      <color rgb="FFFF0000"/>
      <name val="MCS Taybah S_U normal."/>
      <charset val="178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30C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4" fillId="0" borderId="0" applyFont="0" applyFill="0" applyBorder="0" applyAlignment="0" applyProtection="0"/>
  </cellStyleXfs>
  <cellXfs count="185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8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3" borderId="0" xfId="0" applyFont="1" applyFill="1"/>
    <xf numFmtId="164" fontId="5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7" borderId="28" xfId="0" applyFont="1" applyFill="1" applyBorder="1" applyAlignment="1">
      <alignment horizontal="center" vertical="center"/>
    </xf>
    <xf numFmtId="0" fontId="11" fillId="0" borderId="28" xfId="0" applyFont="1" applyBorder="1"/>
    <xf numFmtId="0" fontId="11" fillId="0" borderId="28" xfId="0" applyFont="1" applyBorder="1" applyAlignment="1">
      <alignment horizontal="center" vertical="center"/>
    </xf>
    <xf numFmtId="14" fontId="0" fillId="0" borderId="0" xfId="0" applyNumberFormat="1"/>
    <xf numFmtId="168" fontId="11" fillId="0" borderId="28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 wrapText="1" readingOrder="2"/>
    </xf>
    <xf numFmtId="167" fontId="10" fillId="0" borderId="28" xfId="0" applyNumberFormat="1" applyFont="1" applyBorder="1" applyAlignment="1">
      <alignment horizontal="center" vertical="center" wrapText="1" readingOrder="2"/>
    </xf>
    <xf numFmtId="0" fontId="13" fillId="7" borderId="28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0" fillId="0" borderId="28" xfId="0" applyBorder="1"/>
    <xf numFmtId="0" fontId="15" fillId="0" borderId="28" xfId="0" applyFont="1" applyBorder="1"/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/>
    </xf>
    <xf numFmtId="167" fontId="17" fillId="3" borderId="2" xfId="0" applyNumberFormat="1" applyFont="1" applyFill="1" applyBorder="1"/>
    <xf numFmtId="167" fontId="17" fillId="3" borderId="2" xfId="0" applyNumberFormat="1" applyFont="1" applyFill="1" applyBorder="1" applyAlignment="1">
      <alignment horizontal="center" vertical="center"/>
    </xf>
    <xf numFmtId="167" fontId="17" fillId="4" borderId="7" xfId="0" applyNumberFormat="1" applyFont="1" applyFill="1" applyBorder="1" applyAlignment="1">
      <alignment horizontal="center" vertical="center"/>
    </xf>
    <xf numFmtId="167" fontId="17" fillId="3" borderId="8" xfId="0" applyNumberFormat="1" applyFont="1" applyFill="1" applyBorder="1" applyAlignment="1">
      <alignment horizontal="center"/>
    </xf>
    <xf numFmtId="167" fontId="17" fillId="3" borderId="1" xfId="0" applyNumberFormat="1" applyFont="1" applyFill="1" applyBorder="1"/>
    <xf numFmtId="167" fontId="17" fillId="4" borderId="10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/>
    <xf numFmtId="167" fontId="17" fillId="4" borderId="11" xfId="0" applyNumberFormat="1" applyFont="1" applyFill="1" applyBorder="1" applyAlignment="1">
      <alignment horizontal="center" vertical="center"/>
    </xf>
    <xf numFmtId="167" fontId="17" fillId="4" borderId="12" xfId="0" applyNumberFormat="1" applyFont="1" applyFill="1" applyBorder="1" applyAlignment="1">
      <alignment horizontal="center" vertical="center"/>
    </xf>
    <xf numFmtId="167" fontId="17" fillId="4" borderId="9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67" fontId="17" fillId="2" borderId="4" xfId="0" applyNumberFormat="1" applyFont="1" applyFill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 vertical="center"/>
    </xf>
    <xf numFmtId="167" fontId="17" fillId="3" borderId="2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 applyAlignment="1">
      <alignment horizontal="center"/>
    </xf>
    <xf numFmtId="167" fontId="17" fillId="4" borderId="12" xfId="0" applyNumberFormat="1" applyFont="1" applyFill="1" applyBorder="1" applyAlignment="1">
      <alignment horizontal="center"/>
    </xf>
    <xf numFmtId="167" fontId="17" fillId="4" borderId="10" xfId="0" applyNumberFormat="1" applyFont="1" applyFill="1" applyBorder="1" applyAlignment="1">
      <alignment horizontal="center" vertical="center"/>
    </xf>
    <xf numFmtId="167" fontId="17" fillId="4" borderId="11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horizontal="center" vertical="center"/>
    </xf>
    <xf numFmtId="167" fontId="17" fillId="3" borderId="1" xfId="0" applyNumberFormat="1" applyFont="1" applyFill="1" applyBorder="1" applyAlignment="1">
      <alignment vertical="center"/>
    </xf>
    <xf numFmtId="167" fontId="17" fillId="4" borderId="9" xfId="0" applyNumberFormat="1" applyFont="1" applyFill="1" applyBorder="1" applyAlignment="1">
      <alignment horizontal="center"/>
    </xf>
    <xf numFmtId="167" fontId="17" fillId="2" borderId="3" xfId="0" applyNumberFormat="1" applyFont="1" applyFill="1" applyBorder="1" applyAlignment="1">
      <alignment horizontal="center"/>
    </xf>
    <xf numFmtId="167" fontId="17" fillId="2" borderId="4" xfId="0" applyNumberFormat="1" applyFont="1" applyFill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167" fontId="17" fillId="3" borderId="20" xfId="0" applyNumberFormat="1" applyFont="1" applyFill="1" applyBorder="1"/>
    <xf numFmtId="167" fontId="17" fillId="3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8" fillId="0" borderId="0" xfId="0" applyFont="1" applyAlignment="1">
      <alignment horizontal="center"/>
    </xf>
    <xf numFmtId="167" fontId="17" fillId="4" borderId="2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 applyAlignment="1">
      <alignment vertical="center"/>
    </xf>
    <xf numFmtId="165" fontId="15" fillId="9" borderId="1" xfId="0" applyNumberFormat="1" applyFont="1" applyFill="1" applyBorder="1" applyAlignment="1">
      <alignment horizontal="center" vertical="center"/>
    </xf>
    <xf numFmtId="43" fontId="15" fillId="9" borderId="1" xfId="2" applyFont="1" applyFill="1" applyBorder="1" applyAlignment="1">
      <alignment horizontal="center" vertical="center"/>
    </xf>
    <xf numFmtId="43" fontId="15" fillId="8" borderId="1" xfId="2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0" xfId="0" applyFont="1" applyFill="1"/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vertical="center"/>
    </xf>
    <xf numFmtId="165" fontId="15" fillId="5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right" vertical="center"/>
    </xf>
    <xf numFmtId="0" fontId="15" fillId="9" borderId="2" xfId="0" applyFont="1" applyFill="1" applyBorder="1" applyAlignment="1">
      <alignment vertical="center"/>
    </xf>
    <xf numFmtId="165" fontId="15" fillId="9" borderId="2" xfId="0" applyNumberFormat="1" applyFont="1" applyFill="1" applyBorder="1" applyAlignment="1">
      <alignment horizontal="center" vertical="center"/>
    </xf>
    <xf numFmtId="43" fontId="15" fillId="9" borderId="2" xfId="2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20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4" fontId="15" fillId="9" borderId="1" xfId="2" applyNumberFormat="1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right" vertical="center"/>
    </xf>
    <xf numFmtId="0" fontId="15" fillId="9" borderId="15" xfId="0" applyFont="1" applyFill="1" applyBorder="1" applyAlignment="1">
      <alignment horizontal="right" vertical="center"/>
    </xf>
    <xf numFmtId="14" fontId="15" fillId="9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43" fontId="15" fillId="0" borderId="1" xfId="2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0" fontId="27" fillId="3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right" vertical="center"/>
    </xf>
    <xf numFmtId="165" fontId="4" fillId="10" borderId="1" xfId="0" applyNumberFormat="1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vertical="center"/>
    </xf>
    <xf numFmtId="0" fontId="18" fillId="10" borderId="0" xfId="0" applyFont="1" applyFill="1" applyAlignment="1">
      <alignment horizontal="center"/>
    </xf>
    <xf numFmtId="0" fontId="18" fillId="3" borderId="0" xfId="0" applyFont="1" applyFill="1" applyAlignment="1">
      <alignment horizontal="right"/>
    </xf>
    <xf numFmtId="165" fontId="4" fillId="10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27" fillId="0" borderId="1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4" fontId="4" fillId="0" borderId="0" xfId="2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3" borderId="3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/>
    </xf>
    <xf numFmtId="167" fontId="17" fillId="2" borderId="31" xfId="0" applyNumberFormat="1" applyFont="1" applyFill="1" applyBorder="1" applyAlignment="1">
      <alignment horizontal="center"/>
    </xf>
    <xf numFmtId="167" fontId="17" fillId="0" borderId="23" xfId="0" applyNumberFormat="1" applyFont="1" applyBorder="1" applyAlignment="1">
      <alignment horizontal="center" vertical="center"/>
    </xf>
    <xf numFmtId="167" fontId="17" fillId="0" borderId="32" xfId="0" applyNumberFormat="1" applyFont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167" fontId="17" fillId="4" borderId="19" xfId="0" applyNumberFormat="1" applyFont="1" applyFill="1" applyBorder="1" applyAlignment="1">
      <alignment horizontal="center" vertical="center"/>
    </xf>
    <xf numFmtId="167" fontId="17" fillId="4" borderId="34" xfId="0" applyNumberFormat="1" applyFont="1" applyFill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 vertical="center"/>
    </xf>
    <xf numFmtId="167" fontId="17" fillId="2" borderId="22" xfId="0" applyNumberFormat="1" applyFont="1" applyFill="1" applyBorder="1" applyAlignment="1">
      <alignment horizontal="center" vertical="center"/>
    </xf>
    <xf numFmtId="167" fontId="17" fillId="3" borderId="23" xfId="0" applyNumberFormat="1" applyFont="1" applyFill="1" applyBorder="1" applyAlignment="1">
      <alignment horizontal="center" vertical="center"/>
    </xf>
    <xf numFmtId="167" fontId="17" fillId="3" borderId="24" xfId="0" applyNumberFormat="1" applyFont="1" applyFill="1" applyBorder="1" applyAlignment="1">
      <alignment horizontal="center" vertical="center"/>
    </xf>
    <xf numFmtId="167" fontId="17" fillId="3" borderId="17" xfId="0" applyNumberFormat="1" applyFont="1" applyFill="1" applyBorder="1" applyAlignment="1">
      <alignment horizontal="center" vertical="center"/>
    </xf>
    <xf numFmtId="167" fontId="17" fillId="3" borderId="25" xfId="0" applyNumberFormat="1" applyFont="1" applyFill="1" applyBorder="1" applyAlignment="1">
      <alignment horizontal="center" vertical="center"/>
    </xf>
    <xf numFmtId="167" fontId="17" fillId="4" borderId="26" xfId="0" applyNumberFormat="1" applyFont="1" applyFill="1" applyBorder="1" applyAlignment="1">
      <alignment horizontal="center" vertical="center"/>
    </xf>
    <xf numFmtId="167" fontId="17" fillId="3" borderId="27" xfId="0" applyNumberFormat="1" applyFont="1" applyFill="1" applyBorder="1" applyAlignment="1">
      <alignment horizontal="center" vertical="center"/>
    </xf>
    <xf numFmtId="167" fontId="17" fillId="4" borderId="16" xfId="0" applyNumberFormat="1" applyFont="1" applyFill="1" applyBorder="1" applyAlignment="1">
      <alignment horizontal="center" vertical="center"/>
    </xf>
    <xf numFmtId="167" fontId="17" fillId="2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74">
    <dxf>
      <font>
        <color rgb="FFFFFFFF"/>
      </font>
      <fill>
        <patternFill>
          <bgColor rgb="FFFF0000"/>
        </patternFill>
      </fill>
    </dxf>
    <dxf>
      <font>
        <color theme="4"/>
      </font>
      <fill>
        <patternFill>
          <bgColor theme="4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2" defaultPivotStyle="PivotStyleLight16"/>
  <colors>
    <mruColors>
      <color rgb="FFFF0000"/>
      <color rgb="FFCCFF66"/>
      <color rgb="FFFFDDFF"/>
      <color rgb="FFFFCCFF"/>
      <color rgb="FFFFFFFF"/>
      <color rgb="FF00CC00"/>
      <color rgb="FF0A1FB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581;&#1590;&#1608;&#1585; &#1608;&#1575;&#1604;&#1575;&#1606;&#1589;&#1585;&#1575;&#1601;'!Print_Area"/><Relationship Id="rId7" Type="http://schemas.openxmlformats.org/officeDocument/2006/relationships/image" Target="../media/image1.jpeg"/><Relationship Id="rId2" Type="http://schemas.openxmlformats.org/officeDocument/2006/relationships/hyperlink" Target="#'&#1578;&#1608;&#1586;&#1610;&#1593;&#1575;&#1578; &#1575;&#1604;&#1610;&#1608;&#1605;&#1610;&#1577; &#1575;&#1604;&#1593;&#1575;&#1605;&#1577;'!A1"/><Relationship Id="rId1" Type="http://schemas.openxmlformats.org/officeDocument/2006/relationships/hyperlink" Target="#&#1575;&#1604;&#1587;&#1580;&#1604;!A1"/><Relationship Id="rId6" Type="http://schemas.openxmlformats.org/officeDocument/2006/relationships/hyperlink" Target="&#1605;&#1578;&#1575;&#1576;&#1593;&#1577;%20&#1575;&#1604;&#1575;&#1580;&#1575;&#1586;&#1575;&#1578;%202025.xlsm" TargetMode="External"/><Relationship Id="rId5" Type="http://schemas.openxmlformats.org/officeDocument/2006/relationships/hyperlink" Target="#'&#1578;&#1608;&#1586;&#1610;&#1593;&#1575;&#1578; &#1575;&#1604;&#1610;&#1608;&#1605;&#1610;&#1577; &#1575;&#1604;&#1593;&#1575;&#1605;&#1577;'!Print_Area"/><Relationship Id="rId4" Type="http://schemas.openxmlformats.org/officeDocument/2006/relationships/hyperlink" Target="#&#1575;&#1604;&#1578;&#1608;&#1586;&#1610;&#1593;&#1575;&#1578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331695</xdr:colOff>
      <xdr:row>5</xdr:row>
      <xdr:rowOff>11204</xdr:rowOff>
    </xdr:from>
    <xdr:to>
      <xdr:col>4</xdr:col>
      <xdr:colOff>179294</xdr:colOff>
      <xdr:row>7</xdr:row>
      <xdr:rowOff>123263</xdr:rowOff>
    </xdr:to>
    <xdr:sp macro="" textlink="">
      <xdr:nvSpPr>
        <xdr:cNvPr id="5" name="Rounded 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4108206" y="900204"/>
          <a:ext cx="2641599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بيانات الموظفين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8</xdr:row>
      <xdr:rowOff>78440</xdr:rowOff>
    </xdr:from>
    <xdr:to>
      <xdr:col>4</xdr:col>
      <xdr:colOff>179294</xdr:colOff>
      <xdr:row>10</xdr:row>
      <xdr:rowOff>190499</xdr:rowOff>
    </xdr:to>
    <xdr:sp macro="" textlink="">
      <xdr:nvSpPr>
        <xdr:cNvPr id="6" name="Rounded Rectangl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108206" y="1500840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اليومية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11</xdr:row>
      <xdr:rowOff>145673</xdr:rowOff>
    </xdr:from>
    <xdr:to>
      <xdr:col>4</xdr:col>
      <xdr:colOff>179294</xdr:colOff>
      <xdr:row>14</xdr:row>
      <xdr:rowOff>67232</xdr:rowOff>
    </xdr:to>
    <xdr:sp macro="" textlink="">
      <xdr:nvSpPr>
        <xdr:cNvPr id="7" name="Rounded 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4108206" y="2101473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الحضور والانصراف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5</xdr:row>
      <xdr:rowOff>11204</xdr:rowOff>
    </xdr:from>
    <xdr:to>
      <xdr:col>8</xdr:col>
      <xdr:colOff>324971</xdr:colOff>
      <xdr:row>7</xdr:row>
      <xdr:rowOff>123263</xdr:rowOff>
    </xdr:to>
    <xdr:sp macro="" textlink="">
      <xdr:nvSpPr>
        <xdr:cNvPr id="9" name="Rounded Rectangl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168529" y="900204"/>
          <a:ext cx="2641600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التوزيعات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8</xdr:row>
      <xdr:rowOff>78440</xdr:rowOff>
    </xdr:from>
    <xdr:to>
      <xdr:col>8</xdr:col>
      <xdr:colOff>324971</xdr:colOff>
      <xdr:row>10</xdr:row>
      <xdr:rowOff>190499</xdr:rowOff>
    </xdr:to>
    <xdr:sp macro="" textlink="">
      <xdr:nvSpPr>
        <xdr:cNvPr id="10" name="Rounded Rectang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1168529" y="1500840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توزيعات اليومية</a:t>
          </a:r>
          <a:r>
            <a:rPr lang="ar-SA" sz="2000" b="0" baseline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11</xdr:row>
      <xdr:rowOff>145673</xdr:rowOff>
    </xdr:from>
    <xdr:to>
      <xdr:col>8</xdr:col>
      <xdr:colOff>324971</xdr:colOff>
      <xdr:row>14</xdr:row>
      <xdr:rowOff>67232</xdr:rowOff>
    </xdr:to>
    <xdr:sp macro="" textlink="">
      <xdr:nvSpPr>
        <xdr:cNvPr id="11" name="Rounded Rectang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168529" y="2101473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الاجازات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2</xdr:col>
      <xdr:colOff>421343</xdr:colOff>
      <xdr:row>0</xdr:row>
      <xdr:rowOff>179292</xdr:rowOff>
    </xdr:from>
    <xdr:to>
      <xdr:col>6</xdr:col>
      <xdr:colOff>268942</xdr:colOff>
      <xdr:row>3</xdr:row>
      <xdr:rowOff>100851</xdr:rowOff>
    </xdr:to>
    <xdr:sp macro="" textlink="">
      <xdr:nvSpPr>
        <xdr:cNvPr id="13" name="Rounded Rectangle 2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621558" y="179292"/>
          <a:ext cx="2641599" cy="45495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شئون</a:t>
          </a:r>
          <a:r>
            <a:rPr lang="ar-EG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الموظفين</a:t>
          </a:r>
          <a:endParaRPr lang="en-US" sz="2000">
            <a:solidFill>
              <a:schemeClr val="tx1"/>
            </a:solidFill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oneCellAnchor>
    <xdr:from>
      <xdr:col>8</xdr:col>
      <xdr:colOff>481630</xdr:colOff>
      <xdr:row>1</xdr:row>
      <xdr:rowOff>107345</xdr:rowOff>
    </xdr:from>
    <xdr:ext cx="5093980" cy="333094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99"/>
          <a:ext cx="5093980" cy="33309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594334</xdr:colOff>
      <xdr:row>3</xdr:row>
      <xdr:rowOff>345621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138893166" y="802821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57150</xdr:rowOff>
    </xdr:from>
    <xdr:to>
      <xdr:col>11</xdr:col>
      <xdr:colOff>197005</xdr:colOff>
      <xdr:row>3</xdr:row>
      <xdr:rowOff>609600</xdr:rowOff>
    </xdr:to>
    <xdr:sp macro="" textlink="">
      <xdr:nvSpPr>
        <xdr:cNvPr id="3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228406395" y="571500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178594</xdr:colOff>
      <xdr:row>0</xdr:row>
      <xdr:rowOff>119062</xdr:rowOff>
    </xdr:from>
    <xdr:to>
      <xdr:col>12</xdr:col>
      <xdr:colOff>66036</xdr:colOff>
      <xdr:row>3</xdr:row>
      <xdr:rowOff>71437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305823214" y="119062"/>
          <a:ext cx="2649692" cy="976313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A1FBA"/>
  </sheetPr>
  <dimension ref="A1:J204"/>
  <sheetViews>
    <sheetView showGridLines="0" rightToLeft="1" view="pageBreakPreview" zoomScaleNormal="80" zoomScaleSheetLayoutView="100" workbookViewId="0">
      <selection activeCell="C9" sqref="C9"/>
    </sheetView>
  </sheetViews>
  <sheetFormatPr defaultColWidth="9.08203125" defaultRowHeight="19.5"/>
  <cols>
    <col min="1" max="1" width="10" style="2" bestFit="1" customWidth="1"/>
    <col min="2" max="2" width="17" style="2" hidden="1" customWidth="1"/>
    <col min="3" max="3" width="10" style="2" customWidth="1"/>
    <col min="4" max="4" width="18" style="2" bestFit="1" customWidth="1"/>
    <col min="5" max="5" width="41.08203125" style="2" bestFit="1" customWidth="1"/>
    <col min="6" max="6" width="22.33203125" style="2" bestFit="1" customWidth="1"/>
    <col min="7" max="8" width="22.33203125" style="2" customWidth="1"/>
    <col min="9" max="9" width="21.33203125" style="2" bestFit="1" customWidth="1"/>
    <col min="10" max="10" width="20" style="2" bestFit="1" customWidth="1"/>
    <col min="11" max="16384" width="9.08203125" style="2"/>
  </cols>
  <sheetData>
    <row r="1" spans="1:10" ht="22.5" customHeight="1">
      <c r="A1" s="9"/>
      <c r="B1" s="10"/>
      <c r="C1" s="157" t="s">
        <v>285</v>
      </c>
      <c r="D1" s="158"/>
      <c r="E1" s="158"/>
      <c r="F1" s="158"/>
      <c r="G1" s="158"/>
      <c r="H1" s="158"/>
      <c r="I1" s="9"/>
      <c r="J1" s="9"/>
    </row>
    <row r="2" spans="1:10" ht="48" customHeight="1">
      <c r="A2" s="9"/>
      <c r="B2" s="10"/>
      <c r="C2" s="159" t="s">
        <v>286</v>
      </c>
      <c r="D2" s="158"/>
      <c r="E2" s="158"/>
      <c r="F2" s="158"/>
      <c r="G2" s="158"/>
      <c r="H2" s="158"/>
      <c r="I2" s="9"/>
      <c r="J2" s="9"/>
    </row>
    <row r="3" spans="1:10" ht="22.5" customHeight="1">
      <c r="A3" s="9"/>
      <c r="B3" s="10"/>
      <c r="C3" s="160" t="s">
        <v>287</v>
      </c>
      <c r="D3" s="160"/>
      <c r="E3" s="160"/>
      <c r="F3" s="11">
        <f ca="1">TODAY()</f>
        <v>46148</v>
      </c>
      <c r="G3" s="12"/>
      <c r="H3" s="12"/>
      <c r="I3" s="9"/>
      <c r="J3" s="9"/>
    </row>
    <row r="4" spans="1:10" ht="6.75" customHeight="1">
      <c r="A4" s="9"/>
      <c r="B4" s="10"/>
      <c r="C4" s="12"/>
      <c r="D4" s="12"/>
      <c r="E4" s="12"/>
      <c r="F4" s="12"/>
      <c r="G4" s="12"/>
      <c r="H4" s="12"/>
      <c r="I4" s="9"/>
      <c r="J4" s="9"/>
    </row>
    <row r="5" spans="1:10" s="1" customFormat="1" ht="22">
      <c r="A5" s="8" t="s">
        <v>0</v>
      </c>
      <c r="B5" s="8" t="s">
        <v>1</v>
      </c>
      <c r="C5" s="8" t="s">
        <v>282</v>
      </c>
      <c r="D5" s="8" t="s">
        <v>2</v>
      </c>
      <c r="E5" s="8" t="s">
        <v>256</v>
      </c>
      <c r="F5" s="8" t="s">
        <v>190</v>
      </c>
      <c r="G5" s="8" t="s">
        <v>283</v>
      </c>
      <c r="H5" s="8" t="s">
        <v>284</v>
      </c>
      <c r="I5" s="8" t="s">
        <v>233</v>
      </c>
      <c r="J5" s="14" t="s">
        <v>250</v>
      </c>
    </row>
    <row r="6" spans="1:10" s="13" customFormat="1" ht="22">
      <c r="A6" s="4">
        <v>1</v>
      </c>
      <c r="B6" s="4" t="s">
        <v>3</v>
      </c>
      <c r="C6" s="4">
        <v>1</v>
      </c>
      <c r="D6" s="4" t="s">
        <v>4</v>
      </c>
      <c r="E6" s="3" t="s">
        <v>5</v>
      </c>
      <c r="F6" s="3" t="s">
        <v>191</v>
      </c>
      <c r="G6" s="3"/>
      <c r="H6" s="3"/>
      <c r="I6" s="5" t="s">
        <v>234</v>
      </c>
      <c r="J6" s="6" t="s">
        <v>249</v>
      </c>
    </row>
    <row r="7" spans="1:10" s="13" customFormat="1" ht="22" hidden="1">
      <c r="A7" s="4">
        <v>2</v>
      </c>
      <c r="B7" s="4" t="s">
        <v>6</v>
      </c>
      <c r="C7" s="4">
        <v>2</v>
      </c>
      <c r="D7" s="4" t="s">
        <v>7</v>
      </c>
      <c r="E7" s="3" t="s">
        <v>8</v>
      </c>
      <c r="F7" s="7" t="s">
        <v>192</v>
      </c>
      <c r="G7" s="7"/>
      <c r="H7" s="7"/>
      <c r="I7" s="5" t="s">
        <v>235</v>
      </c>
      <c r="J7" s="6" t="s">
        <v>251</v>
      </c>
    </row>
    <row r="8" spans="1:10" s="13" customFormat="1" ht="22" hidden="1">
      <c r="A8" s="4">
        <v>3</v>
      </c>
      <c r="B8" s="4" t="s">
        <v>6</v>
      </c>
      <c r="C8" s="4">
        <v>3</v>
      </c>
      <c r="D8" s="4" t="s">
        <v>9</v>
      </c>
      <c r="E8" s="3" t="s">
        <v>10</v>
      </c>
      <c r="F8" s="7" t="s">
        <v>193</v>
      </c>
      <c r="G8" s="7"/>
      <c r="H8" s="7"/>
      <c r="I8" s="5" t="s">
        <v>236</v>
      </c>
      <c r="J8" s="6" t="s">
        <v>251</v>
      </c>
    </row>
    <row r="9" spans="1:10" s="13" customFormat="1" ht="22">
      <c r="A9" s="4">
        <v>4</v>
      </c>
      <c r="B9" s="4" t="s">
        <v>3</v>
      </c>
      <c r="C9" s="4">
        <v>1</v>
      </c>
      <c r="D9" s="4" t="s">
        <v>4</v>
      </c>
      <c r="E9" s="3" t="s">
        <v>11</v>
      </c>
      <c r="F9" s="7" t="s">
        <v>194</v>
      </c>
      <c r="G9" s="7"/>
      <c r="H9" s="7"/>
      <c r="I9" s="5" t="s">
        <v>234</v>
      </c>
      <c r="J9" s="6" t="s">
        <v>249</v>
      </c>
    </row>
    <row r="10" spans="1:10" s="13" customFormat="1" ht="19.5" customHeight="1">
      <c r="A10" s="4">
        <v>5</v>
      </c>
      <c r="B10" s="4" t="s">
        <v>3</v>
      </c>
      <c r="C10" s="4">
        <v>1</v>
      </c>
      <c r="D10" s="4" t="s">
        <v>12</v>
      </c>
      <c r="E10" s="3" t="s">
        <v>13</v>
      </c>
      <c r="F10" s="7" t="s">
        <v>195</v>
      </c>
      <c r="G10" s="7"/>
      <c r="H10" s="7"/>
      <c r="I10" s="5" t="s">
        <v>234</v>
      </c>
      <c r="J10" s="6" t="s">
        <v>249</v>
      </c>
    </row>
    <row r="11" spans="1:10" s="13" customFormat="1" ht="22">
      <c r="A11" s="4">
        <v>6</v>
      </c>
      <c r="B11" s="4" t="s">
        <v>3</v>
      </c>
      <c r="C11" s="4">
        <v>1</v>
      </c>
      <c r="D11" s="4" t="s">
        <v>12</v>
      </c>
      <c r="E11" s="3" t="s">
        <v>14</v>
      </c>
      <c r="F11" s="7" t="s">
        <v>196</v>
      </c>
      <c r="G11" s="7"/>
      <c r="H11" s="7"/>
      <c r="I11" s="5" t="s">
        <v>234</v>
      </c>
      <c r="J11" s="6" t="s">
        <v>249</v>
      </c>
    </row>
    <row r="12" spans="1:10" s="13" customFormat="1" ht="22" hidden="1">
      <c r="A12" s="4">
        <v>7</v>
      </c>
      <c r="B12" s="4" t="s">
        <v>3</v>
      </c>
      <c r="C12" s="4">
        <v>7</v>
      </c>
      <c r="D12" s="4" t="s">
        <v>12</v>
      </c>
      <c r="E12" s="3" t="s">
        <v>15</v>
      </c>
      <c r="F12" s="7" t="s">
        <v>197</v>
      </c>
      <c r="G12" s="7"/>
      <c r="H12" s="7"/>
      <c r="I12" s="5" t="s">
        <v>234</v>
      </c>
      <c r="J12" s="6" t="s">
        <v>251</v>
      </c>
    </row>
    <row r="13" spans="1:10" s="13" customFormat="1" ht="22">
      <c r="A13" s="4">
        <v>8</v>
      </c>
      <c r="B13" s="4" t="s">
        <v>3</v>
      </c>
      <c r="C13" s="4">
        <v>1</v>
      </c>
      <c r="D13" s="4" t="s">
        <v>12</v>
      </c>
      <c r="E13" s="3" t="s">
        <v>16</v>
      </c>
      <c r="F13" s="7" t="s">
        <v>195</v>
      </c>
      <c r="G13" s="7"/>
      <c r="H13" s="7"/>
      <c r="I13" s="5" t="s">
        <v>234</v>
      </c>
      <c r="J13" s="6" t="s">
        <v>249</v>
      </c>
    </row>
    <row r="14" spans="1:10" s="13" customFormat="1" ht="22" hidden="1">
      <c r="A14" s="4">
        <v>9</v>
      </c>
      <c r="B14" s="4" t="s">
        <v>3</v>
      </c>
      <c r="C14" s="4">
        <v>9</v>
      </c>
      <c r="D14" s="4" t="s">
        <v>12</v>
      </c>
      <c r="E14" s="3" t="s">
        <v>17</v>
      </c>
      <c r="F14" s="7" t="s">
        <v>192</v>
      </c>
      <c r="G14" s="7"/>
      <c r="H14" s="7"/>
      <c r="I14" s="5" t="s">
        <v>241</v>
      </c>
      <c r="J14" s="6" t="s">
        <v>251</v>
      </c>
    </row>
    <row r="15" spans="1:10" s="13" customFormat="1" ht="22">
      <c r="A15" s="4">
        <v>10</v>
      </c>
      <c r="B15" s="4" t="s">
        <v>3</v>
      </c>
      <c r="C15" s="4">
        <v>10</v>
      </c>
      <c r="D15" s="4" t="s">
        <v>12</v>
      </c>
      <c r="E15" s="3" t="s">
        <v>18</v>
      </c>
      <c r="F15" s="7" t="s">
        <v>195</v>
      </c>
      <c r="G15" s="7"/>
      <c r="H15" s="7"/>
      <c r="I15" s="5" t="s">
        <v>234</v>
      </c>
      <c r="J15" s="6" t="s">
        <v>249</v>
      </c>
    </row>
    <row r="16" spans="1:10" s="13" customFormat="1" ht="22">
      <c r="A16" s="4">
        <v>11</v>
      </c>
      <c r="B16" s="4" t="s">
        <v>3</v>
      </c>
      <c r="C16" s="4">
        <v>11</v>
      </c>
      <c r="D16" s="4" t="s">
        <v>12</v>
      </c>
      <c r="E16" s="3" t="s">
        <v>277</v>
      </c>
      <c r="F16" s="7" t="s">
        <v>195</v>
      </c>
      <c r="G16" s="7"/>
      <c r="H16" s="7"/>
      <c r="I16" s="5" t="s">
        <v>234</v>
      </c>
      <c r="J16" s="6" t="s">
        <v>249</v>
      </c>
    </row>
    <row r="17" spans="1:10" s="13" customFormat="1" ht="19.5" customHeight="1">
      <c r="A17" s="4">
        <v>12</v>
      </c>
      <c r="B17" s="4" t="s">
        <v>3</v>
      </c>
      <c r="C17" s="4">
        <v>12</v>
      </c>
      <c r="D17" s="4" t="s">
        <v>12</v>
      </c>
      <c r="E17" s="3" t="s">
        <v>19</v>
      </c>
      <c r="F17" s="7" t="s">
        <v>195</v>
      </c>
      <c r="G17" s="7"/>
      <c r="H17" s="7"/>
      <c r="I17" s="5" t="s">
        <v>234</v>
      </c>
      <c r="J17" s="6" t="s">
        <v>249</v>
      </c>
    </row>
    <row r="18" spans="1:10" s="13" customFormat="1" ht="22">
      <c r="A18" s="4">
        <v>13</v>
      </c>
      <c r="B18" s="4" t="s">
        <v>3</v>
      </c>
      <c r="C18" s="4">
        <v>13</v>
      </c>
      <c r="D18" s="4" t="s">
        <v>20</v>
      </c>
      <c r="E18" s="3" t="s">
        <v>21</v>
      </c>
      <c r="F18" s="7" t="s">
        <v>195</v>
      </c>
      <c r="G18" s="7"/>
      <c r="H18" s="7"/>
      <c r="I18" s="5" t="s">
        <v>234</v>
      </c>
      <c r="J18" s="6" t="s">
        <v>249</v>
      </c>
    </row>
    <row r="19" spans="1:10" s="13" customFormat="1" ht="22">
      <c r="A19" s="4">
        <v>14</v>
      </c>
      <c r="B19" s="4" t="s">
        <v>3</v>
      </c>
      <c r="C19" s="4">
        <v>14</v>
      </c>
      <c r="D19" s="4" t="s">
        <v>20</v>
      </c>
      <c r="E19" s="3" t="s">
        <v>22</v>
      </c>
      <c r="F19" s="7" t="s">
        <v>192</v>
      </c>
      <c r="G19" s="7"/>
      <c r="H19" s="7"/>
      <c r="I19" s="5" t="s">
        <v>234</v>
      </c>
      <c r="J19" s="6" t="s">
        <v>249</v>
      </c>
    </row>
    <row r="20" spans="1:10" s="13" customFormat="1" ht="22">
      <c r="A20" s="4">
        <v>15</v>
      </c>
      <c r="B20" s="4" t="s">
        <v>3</v>
      </c>
      <c r="C20" s="4">
        <v>15</v>
      </c>
      <c r="D20" s="4" t="s">
        <v>20</v>
      </c>
      <c r="E20" s="3" t="s">
        <v>23</v>
      </c>
      <c r="F20" s="7" t="s">
        <v>198</v>
      </c>
      <c r="G20" s="7"/>
      <c r="H20" s="7"/>
      <c r="I20" s="5" t="s">
        <v>234</v>
      </c>
      <c r="J20" s="6" t="s">
        <v>249</v>
      </c>
    </row>
    <row r="21" spans="1:10" s="13" customFormat="1" ht="22" hidden="1">
      <c r="A21" s="4">
        <v>16</v>
      </c>
      <c r="B21" s="4" t="s">
        <v>3</v>
      </c>
      <c r="C21" s="4">
        <v>16</v>
      </c>
      <c r="D21" s="4" t="s">
        <v>20</v>
      </c>
      <c r="E21" s="3" t="s">
        <v>24</v>
      </c>
      <c r="F21" s="7" t="s">
        <v>197</v>
      </c>
      <c r="G21" s="7"/>
      <c r="H21" s="7"/>
      <c r="I21" s="5" t="s">
        <v>238</v>
      </c>
      <c r="J21" s="6" t="s">
        <v>249</v>
      </c>
    </row>
    <row r="22" spans="1:10" s="13" customFormat="1" ht="22" hidden="1">
      <c r="A22" s="4">
        <v>17</v>
      </c>
      <c r="B22" s="4" t="s">
        <v>3</v>
      </c>
      <c r="C22" s="4">
        <v>17</v>
      </c>
      <c r="D22" s="4" t="s">
        <v>20</v>
      </c>
      <c r="E22" s="3" t="s">
        <v>25</v>
      </c>
      <c r="F22" s="7" t="s">
        <v>195</v>
      </c>
      <c r="G22" s="7"/>
      <c r="H22" s="7"/>
      <c r="I22" s="5" t="s">
        <v>241</v>
      </c>
      <c r="J22" s="6" t="s">
        <v>251</v>
      </c>
    </row>
    <row r="23" spans="1:10" s="13" customFormat="1" ht="22" hidden="1">
      <c r="A23" s="4">
        <v>18</v>
      </c>
      <c r="B23" s="4" t="s">
        <v>3</v>
      </c>
      <c r="C23" s="4">
        <v>18</v>
      </c>
      <c r="D23" s="4" t="s">
        <v>20</v>
      </c>
      <c r="E23" s="3" t="s">
        <v>26</v>
      </c>
      <c r="F23" s="7" t="s">
        <v>195</v>
      </c>
      <c r="G23" s="7"/>
      <c r="H23" s="7"/>
      <c r="I23" s="5" t="s">
        <v>239</v>
      </c>
      <c r="J23" s="6" t="s">
        <v>249</v>
      </c>
    </row>
    <row r="24" spans="1:10" s="13" customFormat="1" ht="19.5" hidden="1" customHeight="1">
      <c r="A24" s="4">
        <v>19</v>
      </c>
      <c r="B24" s="4" t="s">
        <v>3</v>
      </c>
      <c r="C24" s="4">
        <v>19</v>
      </c>
      <c r="D24" s="4" t="s">
        <v>20</v>
      </c>
      <c r="E24" s="3" t="s">
        <v>27</v>
      </c>
      <c r="F24" s="7" t="s">
        <v>195</v>
      </c>
      <c r="G24" s="7"/>
      <c r="H24" s="7"/>
      <c r="I24" s="5"/>
      <c r="J24" s="6" t="s">
        <v>251</v>
      </c>
    </row>
    <row r="25" spans="1:10" s="13" customFormat="1" ht="22" hidden="1">
      <c r="A25" s="4">
        <v>20</v>
      </c>
      <c r="B25" s="4" t="s">
        <v>3</v>
      </c>
      <c r="C25" s="4">
        <v>20</v>
      </c>
      <c r="D25" s="4" t="s">
        <v>20</v>
      </c>
      <c r="E25" s="3" t="s">
        <v>28</v>
      </c>
      <c r="F25" s="7" t="s">
        <v>199</v>
      </c>
      <c r="G25" s="7"/>
      <c r="H25" s="7"/>
      <c r="I25" s="5" t="s">
        <v>236</v>
      </c>
      <c r="J25" s="6" t="s">
        <v>251</v>
      </c>
    </row>
    <row r="26" spans="1:10" s="13" customFormat="1" ht="22">
      <c r="A26" s="4">
        <v>21</v>
      </c>
      <c r="B26" s="4" t="s">
        <v>3</v>
      </c>
      <c r="C26" s="4">
        <v>21</v>
      </c>
      <c r="D26" s="4" t="s">
        <v>20</v>
      </c>
      <c r="E26" s="3" t="s">
        <v>29</v>
      </c>
      <c r="F26" s="7" t="s">
        <v>200</v>
      </c>
      <c r="G26" s="7"/>
      <c r="H26" s="7"/>
      <c r="I26" s="5" t="s">
        <v>234</v>
      </c>
      <c r="J26" s="6" t="s">
        <v>249</v>
      </c>
    </row>
    <row r="27" spans="1:10" s="13" customFormat="1" ht="22">
      <c r="A27" s="4">
        <v>22</v>
      </c>
      <c r="B27" s="4" t="s">
        <v>3</v>
      </c>
      <c r="C27" s="4">
        <v>22</v>
      </c>
      <c r="D27" s="4" t="s">
        <v>20</v>
      </c>
      <c r="E27" s="3" t="s">
        <v>30</v>
      </c>
      <c r="F27" s="7" t="s">
        <v>194</v>
      </c>
      <c r="G27" s="7"/>
      <c r="H27" s="7"/>
      <c r="I27" s="5" t="s">
        <v>234</v>
      </c>
      <c r="J27" s="6" t="s">
        <v>249</v>
      </c>
    </row>
    <row r="28" spans="1:10" s="13" customFormat="1" ht="22" hidden="1">
      <c r="A28" s="4">
        <v>23</v>
      </c>
      <c r="B28" s="4" t="s">
        <v>3</v>
      </c>
      <c r="C28" s="4">
        <v>23</v>
      </c>
      <c r="D28" s="4" t="s">
        <v>20</v>
      </c>
      <c r="E28" s="3" t="s">
        <v>31</v>
      </c>
      <c r="F28" s="7" t="s">
        <v>195</v>
      </c>
      <c r="G28" s="7"/>
      <c r="H28" s="7"/>
      <c r="I28" s="5" t="s">
        <v>274</v>
      </c>
      <c r="J28" s="6" t="s">
        <v>251</v>
      </c>
    </row>
    <row r="29" spans="1:10" s="13" customFormat="1" ht="22">
      <c r="A29" s="4">
        <v>24</v>
      </c>
      <c r="B29" s="4" t="s">
        <v>3</v>
      </c>
      <c r="C29" s="4">
        <v>24</v>
      </c>
      <c r="D29" s="4" t="s">
        <v>20</v>
      </c>
      <c r="E29" s="3" t="s">
        <v>32</v>
      </c>
      <c r="F29" s="7" t="s">
        <v>201</v>
      </c>
      <c r="G29" s="7"/>
      <c r="H29" s="7"/>
      <c r="I29" s="5" t="s">
        <v>234</v>
      </c>
      <c r="J29" s="6" t="s">
        <v>249</v>
      </c>
    </row>
    <row r="30" spans="1:10" s="13" customFormat="1" ht="22" hidden="1">
      <c r="A30" s="4">
        <v>25</v>
      </c>
      <c r="B30" s="4" t="s">
        <v>6</v>
      </c>
      <c r="C30" s="4">
        <v>25</v>
      </c>
      <c r="D30" s="4" t="s">
        <v>7</v>
      </c>
      <c r="E30" s="3" t="s">
        <v>210</v>
      </c>
      <c r="F30" s="7" t="s">
        <v>191</v>
      </c>
      <c r="G30" s="7"/>
      <c r="H30" s="7"/>
      <c r="I30" s="5"/>
      <c r="J30" s="6" t="s">
        <v>251</v>
      </c>
    </row>
    <row r="31" spans="1:10" s="13" customFormat="1" ht="19.5" hidden="1" customHeight="1">
      <c r="A31" s="4">
        <v>26</v>
      </c>
      <c r="B31" s="4" t="s">
        <v>3</v>
      </c>
      <c r="C31" s="4">
        <v>26</v>
      </c>
      <c r="D31" s="4" t="s">
        <v>20</v>
      </c>
      <c r="E31" s="3" t="s">
        <v>33</v>
      </c>
      <c r="F31" s="7" t="s">
        <v>197</v>
      </c>
      <c r="G31" s="7"/>
      <c r="H31" s="7"/>
      <c r="I31" s="5" t="s">
        <v>237</v>
      </c>
      <c r="J31" s="6" t="s">
        <v>251</v>
      </c>
    </row>
    <row r="32" spans="1:10" s="13" customFormat="1" ht="22" hidden="1">
      <c r="A32" s="4">
        <v>27</v>
      </c>
      <c r="B32" s="4" t="s">
        <v>3</v>
      </c>
      <c r="C32" s="4">
        <v>27</v>
      </c>
      <c r="D32" s="4" t="s">
        <v>20</v>
      </c>
      <c r="E32" s="3" t="s">
        <v>34</v>
      </c>
      <c r="F32" s="7" t="s">
        <v>195</v>
      </c>
      <c r="G32" s="7"/>
      <c r="H32" s="7"/>
      <c r="I32" s="5" t="s">
        <v>274</v>
      </c>
      <c r="J32" s="6" t="s">
        <v>251</v>
      </c>
    </row>
    <row r="33" spans="1:10" s="13" customFormat="1" ht="22" hidden="1">
      <c r="A33" s="4">
        <v>28</v>
      </c>
      <c r="B33" s="4" t="s">
        <v>3</v>
      </c>
      <c r="C33" s="4">
        <v>28</v>
      </c>
      <c r="D33" s="4" t="s">
        <v>35</v>
      </c>
      <c r="E33" s="3" t="s">
        <v>36</v>
      </c>
      <c r="F33" s="7" t="s">
        <v>201</v>
      </c>
      <c r="G33" s="7"/>
      <c r="H33" s="7"/>
      <c r="I33" s="5" t="s">
        <v>238</v>
      </c>
      <c r="J33" s="6" t="s">
        <v>251</v>
      </c>
    </row>
    <row r="34" spans="1:10" s="13" customFormat="1" ht="22">
      <c r="A34" s="4">
        <v>29</v>
      </c>
      <c r="B34" s="4" t="s">
        <v>3</v>
      </c>
      <c r="C34" s="4">
        <v>29</v>
      </c>
      <c r="D34" s="4" t="s">
        <v>35</v>
      </c>
      <c r="E34" s="3" t="s">
        <v>37</v>
      </c>
      <c r="F34" s="7" t="s">
        <v>198</v>
      </c>
      <c r="G34" s="7"/>
      <c r="H34" s="7"/>
      <c r="I34" s="5" t="s">
        <v>234</v>
      </c>
      <c r="J34" s="6" t="s">
        <v>249</v>
      </c>
    </row>
    <row r="35" spans="1:10" s="13" customFormat="1" ht="22" hidden="1">
      <c r="A35" s="4">
        <v>30</v>
      </c>
      <c r="B35" s="4" t="s">
        <v>3</v>
      </c>
      <c r="C35" s="4">
        <v>30</v>
      </c>
      <c r="D35" s="4" t="s">
        <v>35</v>
      </c>
      <c r="E35" s="3" t="s">
        <v>38</v>
      </c>
      <c r="F35" s="7" t="s">
        <v>195</v>
      </c>
      <c r="G35" s="7"/>
      <c r="H35" s="7"/>
      <c r="I35" s="5" t="s">
        <v>238</v>
      </c>
      <c r="J35" s="6" t="s">
        <v>251</v>
      </c>
    </row>
    <row r="36" spans="1:10" s="13" customFormat="1" ht="22">
      <c r="A36" s="4">
        <v>31</v>
      </c>
      <c r="B36" s="4" t="s">
        <v>3</v>
      </c>
      <c r="C36" s="4">
        <v>31</v>
      </c>
      <c r="D36" s="4" t="s">
        <v>35</v>
      </c>
      <c r="E36" s="3" t="s">
        <v>39</v>
      </c>
      <c r="F36" s="7" t="s">
        <v>195</v>
      </c>
      <c r="G36" s="7"/>
      <c r="H36" s="7"/>
      <c r="I36" s="5" t="s">
        <v>234</v>
      </c>
      <c r="J36" s="6" t="s">
        <v>249</v>
      </c>
    </row>
    <row r="37" spans="1:10" s="13" customFormat="1" ht="22" hidden="1">
      <c r="A37" s="4">
        <v>32</v>
      </c>
      <c r="B37" s="4" t="s">
        <v>3</v>
      </c>
      <c r="C37" s="4">
        <v>32</v>
      </c>
      <c r="D37" s="4" t="s">
        <v>35</v>
      </c>
      <c r="E37" s="3" t="s">
        <v>40</v>
      </c>
      <c r="F37" s="7" t="s">
        <v>192</v>
      </c>
      <c r="G37" s="7"/>
      <c r="H37" s="7"/>
      <c r="I37" s="5" t="s">
        <v>237</v>
      </c>
      <c r="J37" s="6" t="s">
        <v>251</v>
      </c>
    </row>
    <row r="38" spans="1:10" s="13" customFormat="1" ht="19.5" customHeight="1">
      <c r="A38" s="4">
        <v>33</v>
      </c>
      <c r="B38" s="4" t="s">
        <v>3</v>
      </c>
      <c r="C38" s="4">
        <v>33</v>
      </c>
      <c r="D38" s="4" t="s">
        <v>35</v>
      </c>
      <c r="E38" s="3" t="s">
        <v>41</v>
      </c>
      <c r="F38" s="7" t="s">
        <v>195</v>
      </c>
      <c r="G38" s="7"/>
      <c r="H38" s="7"/>
      <c r="I38" s="5" t="s">
        <v>234</v>
      </c>
      <c r="J38" s="6" t="s">
        <v>249</v>
      </c>
    </row>
    <row r="39" spans="1:10" s="13" customFormat="1" ht="22" hidden="1">
      <c r="A39" s="4">
        <v>34</v>
      </c>
      <c r="B39" s="4" t="s">
        <v>6</v>
      </c>
      <c r="C39" s="4">
        <v>34</v>
      </c>
      <c r="D39" s="4" t="s">
        <v>42</v>
      </c>
      <c r="E39" s="3" t="s">
        <v>43</v>
      </c>
      <c r="F39" s="7" t="s">
        <v>195</v>
      </c>
      <c r="G39" s="7"/>
      <c r="H39" s="7"/>
      <c r="I39" s="5" t="s">
        <v>237</v>
      </c>
      <c r="J39" s="6" t="s">
        <v>249</v>
      </c>
    </row>
    <row r="40" spans="1:10" s="13" customFormat="1" ht="22" hidden="1">
      <c r="A40" s="4">
        <v>35</v>
      </c>
      <c r="B40" s="4" t="s">
        <v>6</v>
      </c>
      <c r="C40" s="4">
        <v>35</v>
      </c>
      <c r="D40" s="4" t="s">
        <v>42</v>
      </c>
      <c r="E40" s="3" t="s">
        <v>44</v>
      </c>
      <c r="F40" s="7" t="s">
        <v>194</v>
      </c>
      <c r="G40" s="7"/>
      <c r="H40" s="7"/>
      <c r="I40" s="5" t="s">
        <v>239</v>
      </c>
      <c r="J40" s="6" t="s">
        <v>251</v>
      </c>
    </row>
    <row r="41" spans="1:10" s="13" customFormat="1" ht="22" hidden="1">
      <c r="A41" s="4">
        <v>36</v>
      </c>
      <c r="B41" s="4" t="s">
        <v>6</v>
      </c>
      <c r="C41" s="4">
        <v>36</v>
      </c>
      <c r="D41" s="4" t="s">
        <v>42</v>
      </c>
      <c r="E41" s="3" t="s">
        <v>45</v>
      </c>
      <c r="F41" s="7" t="s">
        <v>202</v>
      </c>
      <c r="G41" s="7"/>
      <c r="H41" s="7"/>
      <c r="I41" s="5" t="s">
        <v>237</v>
      </c>
      <c r="J41" s="6" t="s">
        <v>251</v>
      </c>
    </row>
    <row r="42" spans="1:10" s="13" customFormat="1" ht="22">
      <c r="A42" s="4">
        <v>37</v>
      </c>
      <c r="B42" s="4" t="s">
        <v>3</v>
      </c>
      <c r="C42" s="4">
        <v>37</v>
      </c>
      <c r="D42" s="4" t="s">
        <v>46</v>
      </c>
      <c r="E42" s="3" t="s">
        <v>47</v>
      </c>
      <c r="F42" s="7" t="s">
        <v>197</v>
      </c>
      <c r="G42" s="7"/>
      <c r="H42" s="7"/>
      <c r="I42" s="5" t="s">
        <v>234</v>
      </c>
      <c r="J42" s="6" t="s">
        <v>249</v>
      </c>
    </row>
    <row r="43" spans="1:10" s="13" customFormat="1" ht="22">
      <c r="A43" s="4">
        <v>38</v>
      </c>
      <c r="B43" s="4" t="s">
        <v>3</v>
      </c>
      <c r="C43" s="4">
        <v>38</v>
      </c>
      <c r="D43" s="4" t="s">
        <v>46</v>
      </c>
      <c r="E43" s="3" t="s">
        <v>48</v>
      </c>
      <c r="F43" s="7" t="s">
        <v>195</v>
      </c>
      <c r="G43" s="7"/>
      <c r="H43" s="7"/>
      <c r="I43" s="5" t="s">
        <v>234</v>
      </c>
      <c r="J43" s="6" t="s">
        <v>249</v>
      </c>
    </row>
    <row r="44" spans="1:10" s="13" customFormat="1" ht="22">
      <c r="A44" s="4">
        <v>39</v>
      </c>
      <c r="B44" s="4" t="s">
        <v>3</v>
      </c>
      <c r="C44" s="4">
        <v>39</v>
      </c>
      <c r="D44" s="4" t="s">
        <v>46</v>
      </c>
      <c r="E44" s="3" t="s">
        <v>49</v>
      </c>
      <c r="F44" s="7" t="s">
        <v>195</v>
      </c>
      <c r="G44" s="7"/>
      <c r="H44" s="7"/>
      <c r="I44" s="5" t="s">
        <v>234</v>
      </c>
      <c r="J44" s="6" t="s">
        <v>249</v>
      </c>
    </row>
    <row r="45" spans="1:10" s="13" customFormat="1" ht="22" hidden="1">
      <c r="A45" s="4">
        <v>40</v>
      </c>
      <c r="B45" s="4" t="s">
        <v>50</v>
      </c>
      <c r="C45" s="4">
        <v>40</v>
      </c>
      <c r="D45" s="4" t="s">
        <v>51</v>
      </c>
      <c r="E45" s="3" t="s">
        <v>52</v>
      </c>
      <c r="F45" s="7" t="s">
        <v>196</v>
      </c>
      <c r="G45" s="7"/>
      <c r="H45" s="7"/>
      <c r="I45" s="5"/>
      <c r="J45" s="6" t="s">
        <v>251</v>
      </c>
    </row>
    <row r="46" spans="1:10" s="13" customFormat="1" ht="22">
      <c r="A46" s="4">
        <v>41</v>
      </c>
      <c r="B46" s="4" t="s">
        <v>50</v>
      </c>
      <c r="C46" s="4">
        <v>41</v>
      </c>
      <c r="D46" s="4" t="s">
        <v>51</v>
      </c>
      <c r="E46" s="3" t="s">
        <v>53</v>
      </c>
      <c r="F46" s="7" t="s">
        <v>196</v>
      </c>
      <c r="G46" s="7"/>
      <c r="H46" s="7"/>
      <c r="I46" s="5" t="s">
        <v>234</v>
      </c>
      <c r="J46" s="6" t="s">
        <v>249</v>
      </c>
    </row>
    <row r="47" spans="1:10" s="13" customFormat="1" ht="22" hidden="1">
      <c r="A47" s="4">
        <v>42</v>
      </c>
      <c r="B47" s="4" t="s">
        <v>50</v>
      </c>
      <c r="C47" s="4">
        <v>42</v>
      </c>
      <c r="D47" s="4" t="s">
        <v>51</v>
      </c>
      <c r="E47" s="3" t="s">
        <v>54</v>
      </c>
      <c r="F47" s="7" t="s">
        <v>196</v>
      </c>
      <c r="G47" s="7"/>
      <c r="H47" s="7"/>
      <c r="I47" s="5"/>
      <c r="J47" s="6" t="s">
        <v>251</v>
      </c>
    </row>
    <row r="48" spans="1:10" s="13" customFormat="1" ht="22" hidden="1">
      <c r="A48" s="4">
        <v>43</v>
      </c>
      <c r="B48" s="4" t="s">
        <v>50</v>
      </c>
      <c r="C48" s="4">
        <v>43</v>
      </c>
      <c r="D48" s="4" t="s">
        <v>51</v>
      </c>
      <c r="E48" s="3" t="s">
        <v>55</v>
      </c>
      <c r="F48" s="7" t="s">
        <v>197</v>
      </c>
      <c r="G48" s="7"/>
      <c r="H48" s="7"/>
      <c r="I48" s="5" t="s">
        <v>241</v>
      </c>
      <c r="J48" s="6" t="s">
        <v>251</v>
      </c>
    </row>
    <row r="49" spans="1:10" s="13" customFormat="1" ht="22" hidden="1">
      <c r="A49" s="4">
        <v>44</v>
      </c>
      <c r="B49" s="4" t="s">
        <v>50</v>
      </c>
      <c r="C49" s="4">
        <v>44</v>
      </c>
      <c r="D49" s="4" t="s">
        <v>51</v>
      </c>
      <c r="E49" s="3" t="s">
        <v>56</v>
      </c>
      <c r="F49" s="7" t="s">
        <v>197</v>
      </c>
      <c r="G49" s="7"/>
      <c r="H49" s="7"/>
      <c r="I49" s="5" t="s">
        <v>236</v>
      </c>
      <c r="J49" s="6" t="s">
        <v>251</v>
      </c>
    </row>
    <row r="50" spans="1:10" s="13" customFormat="1" ht="22" hidden="1">
      <c r="A50" s="4">
        <v>45</v>
      </c>
      <c r="B50" s="4" t="s">
        <v>50</v>
      </c>
      <c r="C50" s="4">
        <v>45</v>
      </c>
      <c r="D50" s="4" t="s">
        <v>51</v>
      </c>
      <c r="E50" s="3" t="s">
        <v>57</v>
      </c>
      <c r="F50" s="7" t="s">
        <v>198</v>
      </c>
      <c r="G50" s="7"/>
      <c r="H50" s="7"/>
      <c r="I50" s="5" t="s">
        <v>237</v>
      </c>
      <c r="J50" s="6" t="s">
        <v>251</v>
      </c>
    </row>
    <row r="51" spans="1:10" s="13" customFormat="1" ht="22">
      <c r="A51" s="4">
        <v>46</v>
      </c>
      <c r="B51" s="4" t="s">
        <v>50</v>
      </c>
      <c r="C51" s="4">
        <v>46</v>
      </c>
      <c r="D51" s="4" t="s">
        <v>51</v>
      </c>
      <c r="E51" s="3" t="s">
        <v>58</v>
      </c>
      <c r="F51" s="7" t="s">
        <v>198</v>
      </c>
      <c r="G51" s="7"/>
      <c r="H51" s="7"/>
      <c r="I51" s="5" t="s">
        <v>234</v>
      </c>
      <c r="J51" s="6" t="s">
        <v>249</v>
      </c>
    </row>
    <row r="52" spans="1:10" s="13" customFormat="1" ht="22" hidden="1">
      <c r="A52" s="4">
        <v>47</v>
      </c>
      <c r="B52" s="4" t="s">
        <v>50</v>
      </c>
      <c r="C52" s="4">
        <v>47</v>
      </c>
      <c r="D52" s="4" t="s">
        <v>51</v>
      </c>
      <c r="E52" s="3" t="s">
        <v>59</v>
      </c>
      <c r="F52" s="7" t="s">
        <v>192</v>
      </c>
      <c r="G52" s="7"/>
      <c r="H52" s="7"/>
      <c r="I52" s="5" t="s">
        <v>237</v>
      </c>
      <c r="J52" s="6" t="s">
        <v>251</v>
      </c>
    </row>
    <row r="53" spans="1:10" s="13" customFormat="1" ht="22" hidden="1">
      <c r="A53" s="4">
        <v>48</v>
      </c>
      <c r="B53" s="4" t="s">
        <v>50</v>
      </c>
      <c r="C53" s="4">
        <v>48</v>
      </c>
      <c r="D53" s="4" t="s">
        <v>51</v>
      </c>
      <c r="E53" s="3" t="s">
        <v>60</v>
      </c>
      <c r="F53" s="7" t="s">
        <v>197</v>
      </c>
      <c r="G53" s="7"/>
      <c r="H53" s="7"/>
      <c r="I53" s="5" t="s">
        <v>237</v>
      </c>
      <c r="J53" s="6" t="s">
        <v>251</v>
      </c>
    </row>
    <row r="54" spans="1:10" s="13" customFormat="1" ht="22" hidden="1">
      <c r="A54" s="4">
        <v>49</v>
      </c>
      <c r="B54" s="4" t="s">
        <v>50</v>
      </c>
      <c r="C54" s="4">
        <v>49</v>
      </c>
      <c r="D54" s="4" t="s">
        <v>51</v>
      </c>
      <c r="E54" s="3" t="s">
        <v>61</v>
      </c>
      <c r="F54" s="7" t="s">
        <v>198</v>
      </c>
      <c r="G54" s="7"/>
      <c r="H54" s="7"/>
      <c r="I54" s="5"/>
      <c r="J54" s="6" t="s">
        <v>251</v>
      </c>
    </row>
    <row r="55" spans="1:10" s="13" customFormat="1" ht="22" hidden="1">
      <c r="A55" s="4">
        <v>50</v>
      </c>
      <c r="B55" s="4" t="s">
        <v>50</v>
      </c>
      <c r="C55" s="4">
        <v>50</v>
      </c>
      <c r="D55" s="4" t="s">
        <v>51</v>
      </c>
      <c r="E55" s="3" t="s">
        <v>62</v>
      </c>
      <c r="F55" s="7" t="s">
        <v>198</v>
      </c>
      <c r="G55" s="7"/>
      <c r="H55" s="7"/>
      <c r="I55" s="5"/>
      <c r="J55" s="6" t="s">
        <v>251</v>
      </c>
    </row>
    <row r="56" spans="1:10" s="13" customFormat="1" ht="22" hidden="1">
      <c r="A56" s="4">
        <v>51</v>
      </c>
      <c r="B56" s="4" t="s">
        <v>50</v>
      </c>
      <c r="C56" s="4">
        <v>51</v>
      </c>
      <c r="D56" s="4" t="s">
        <v>51</v>
      </c>
      <c r="E56" s="3" t="s">
        <v>63</v>
      </c>
      <c r="F56" s="7" t="s">
        <v>198</v>
      </c>
      <c r="G56" s="7"/>
      <c r="H56" s="7"/>
      <c r="I56" s="5"/>
      <c r="J56" s="6" t="s">
        <v>251</v>
      </c>
    </row>
    <row r="57" spans="1:10" s="13" customFormat="1" ht="22" hidden="1">
      <c r="A57" s="4">
        <v>52</v>
      </c>
      <c r="B57" s="4" t="s">
        <v>50</v>
      </c>
      <c r="C57" s="4">
        <v>52</v>
      </c>
      <c r="D57" s="4" t="s">
        <v>51</v>
      </c>
      <c r="E57" s="3" t="s">
        <v>64</v>
      </c>
      <c r="F57" s="7" t="s">
        <v>192</v>
      </c>
      <c r="G57" s="7"/>
      <c r="H57" s="7"/>
      <c r="I57" s="5" t="s">
        <v>236</v>
      </c>
      <c r="J57" s="6" t="s">
        <v>251</v>
      </c>
    </row>
    <row r="58" spans="1:10" s="13" customFormat="1" ht="22" hidden="1">
      <c r="A58" s="4">
        <v>53</v>
      </c>
      <c r="B58" s="4" t="s">
        <v>50</v>
      </c>
      <c r="C58" s="4">
        <v>53</v>
      </c>
      <c r="D58" s="4" t="s">
        <v>51</v>
      </c>
      <c r="E58" s="3" t="s">
        <v>65</v>
      </c>
      <c r="F58" s="7" t="s">
        <v>198</v>
      </c>
      <c r="G58" s="7"/>
      <c r="H58" s="7"/>
      <c r="I58" s="5" t="s">
        <v>234</v>
      </c>
      <c r="J58" s="6" t="s">
        <v>251</v>
      </c>
    </row>
    <row r="59" spans="1:10" s="13" customFormat="1" ht="22" hidden="1">
      <c r="A59" s="4">
        <v>54</v>
      </c>
      <c r="B59" s="4" t="s">
        <v>50</v>
      </c>
      <c r="C59" s="4">
        <v>54</v>
      </c>
      <c r="D59" s="4" t="s">
        <v>51</v>
      </c>
      <c r="E59" s="3" t="s">
        <v>66</v>
      </c>
      <c r="F59" s="7" t="s">
        <v>192</v>
      </c>
      <c r="G59" s="7"/>
      <c r="H59" s="7"/>
      <c r="I59" s="5"/>
      <c r="J59" s="6" t="s">
        <v>251</v>
      </c>
    </row>
    <row r="60" spans="1:10" s="13" customFormat="1" ht="22" hidden="1">
      <c r="A60" s="4">
        <v>55</v>
      </c>
      <c r="B60" s="4" t="s">
        <v>50</v>
      </c>
      <c r="C60" s="4">
        <v>55</v>
      </c>
      <c r="D60" s="4" t="s">
        <v>51</v>
      </c>
      <c r="E60" s="3" t="s">
        <v>240</v>
      </c>
      <c r="F60" s="7" t="s">
        <v>192</v>
      </c>
      <c r="G60" s="7"/>
      <c r="H60" s="7"/>
      <c r="I60" s="5"/>
      <c r="J60" s="6" t="s">
        <v>251</v>
      </c>
    </row>
    <row r="61" spans="1:10" s="13" customFormat="1" ht="22" hidden="1">
      <c r="A61" s="4">
        <v>56</v>
      </c>
      <c r="B61" s="4" t="s">
        <v>50</v>
      </c>
      <c r="C61" s="4">
        <v>56</v>
      </c>
      <c r="D61" s="4" t="s">
        <v>51</v>
      </c>
      <c r="E61" s="3" t="s">
        <v>67</v>
      </c>
      <c r="F61" s="7" t="s">
        <v>192</v>
      </c>
      <c r="G61" s="7"/>
      <c r="H61" s="7"/>
      <c r="I61" s="5"/>
      <c r="J61" s="6" t="s">
        <v>251</v>
      </c>
    </row>
    <row r="62" spans="1:10" s="13" customFormat="1" ht="22" hidden="1">
      <c r="A62" s="4">
        <v>57</v>
      </c>
      <c r="B62" s="4" t="s">
        <v>50</v>
      </c>
      <c r="C62" s="4">
        <v>57</v>
      </c>
      <c r="D62" s="4" t="s">
        <v>51</v>
      </c>
      <c r="E62" s="3" t="s">
        <v>68</v>
      </c>
      <c r="F62" s="7" t="s">
        <v>192</v>
      </c>
      <c r="G62" s="7"/>
      <c r="H62" s="7"/>
      <c r="I62" s="5"/>
      <c r="J62" s="6" t="s">
        <v>251</v>
      </c>
    </row>
    <row r="63" spans="1:10" s="13" customFormat="1" ht="22" hidden="1">
      <c r="A63" s="4">
        <v>58</v>
      </c>
      <c r="B63" s="4" t="s">
        <v>50</v>
      </c>
      <c r="C63" s="4">
        <v>58</v>
      </c>
      <c r="D63" s="4" t="s">
        <v>51</v>
      </c>
      <c r="E63" s="3" t="s">
        <v>69</v>
      </c>
      <c r="F63" s="7" t="s">
        <v>203</v>
      </c>
      <c r="G63" s="7"/>
      <c r="H63" s="7"/>
      <c r="I63" s="5" t="s">
        <v>241</v>
      </c>
      <c r="J63" s="6" t="s">
        <v>251</v>
      </c>
    </row>
    <row r="64" spans="1:10" s="13" customFormat="1" ht="22" hidden="1">
      <c r="A64" s="4">
        <v>59</v>
      </c>
      <c r="B64" s="4" t="s">
        <v>50</v>
      </c>
      <c r="C64" s="4">
        <v>59</v>
      </c>
      <c r="D64" s="4" t="s">
        <v>51</v>
      </c>
      <c r="E64" s="3" t="s">
        <v>70</v>
      </c>
      <c r="F64" s="7" t="s">
        <v>192</v>
      </c>
      <c r="G64" s="7"/>
      <c r="H64" s="7"/>
      <c r="I64" s="5"/>
      <c r="J64" s="6" t="s">
        <v>251</v>
      </c>
    </row>
    <row r="65" spans="1:10" s="13" customFormat="1" ht="22" hidden="1">
      <c r="A65" s="4">
        <v>60</v>
      </c>
      <c r="B65" s="4" t="s">
        <v>50</v>
      </c>
      <c r="C65" s="4">
        <v>60</v>
      </c>
      <c r="D65" s="4" t="s">
        <v>51</v>
      </c>
      <c r="E65" s="3" t="s">
        <v>71</v>
      </c>
      <c r="F65" s="7" t="s">
        <v>203</v>
      </c>
      <c r="G65" s="7"/>
      <c r="H65" s="7"/>
      <c r="I65" s="5" t="s">
        <v>237</v>
      </c>
      <c r="J65" s="6" t="s">
        <v>251</v>
      </c>
    </row>
    <row r="66" spans="1:10" s="13" customFormat="1" ht="19.5" hidden="1" customHeight="1">
      <c r="A66" s="4">
        <v>61</v>
      </c>
      <c r="B66" s="4" t="s">
        <v>50</v>
      </c>
      <c r="C66" s="4">
        <v>61</v>
      </c>
      <c r="D66" s="4" t="s">
        <v>51</v>
      </c>
      <c r="E66" s="3" t="s">
        <v>72</v>
      </c>
      <c r="F66" s="7" t="s">
        <v>200</v>
      </c>
      <c r="G66" s="7"/>
      <c r="H66" s="7"/>
      <c r="I66" s="5" t="s">
        <v>241</v>
      </c>
      <c r="J66" s="6" t="s">
        <v>251</v>
      </c>
    </row>
    <row r="67" spans="1:10" s="13" customFormat="1" ht="22" hidden="1">
      <c r="A67" s="4">
        <v>62</v>
      </c>
      <c r="B67" s="4" t="s">
        <v>50</v>
      </c>
      <c r="C67" s="4">
        <v>62</v>
      </c>
      <c r="D67" s="4" t="s">
        <v>51</v>
      </c>
      <c r="E67" s="3" t="s">
        <v>73</v>
      </c>
      <c r="F67" s="7" t="s">
        <v>192</v>
      </c>
      <c r="G67" s="7"/>
      <c r="H67" s="7"/>
      <c r="I67" s="5"/>
      <c r="J67" s="6" t="s">
        <v>251</v>
      </c>
    </row>
    <row r="68" spans="1:10" s="13" customFormat="1" ht="22" hidden="1">
      <c r="A68" s="4">
        <v>63</v>
      </c>
      <c r="B68" s="4" t="s">
        <v>50</v>
      </c>
      <c r="C68" s="4">
        <v>63</v>
      </c>
      <c r="D68" s="4" t="s">
        <v>51</v>
      </c>
      <c r="E68" s="3" t="s">
        <v>74</v>
      </c>
      <c r="F68" s="7" t="s">
        <v>197</v>
      </c>
      <c r="G68" s="7"/>
      <c r="H68" s="7"/>
      <c r="I68" s="5" t="s">
        <v>242</v>
      </c>
      <c r="J68" s="6" t="s">
        <v>251</v>
      </c>
    </row>
    <row r="69" spans="1:10" s="13" customFormat="1" ht="22" hidden="1">
      <c r="A69" s="4">
        <v>64</v>
      </c>
      <c r="B69" s="4" t="s">
        <v>50</v>
      </c>
      <c r="C69" s="4">
        <v>64</v>
      </c>
      <c r="D69" s="4" t="s">
        <v>51</v>
      </c>
      <c r="E69" s="3" t="s">
        <v>75</v>
      </c>
      <c r="F69" s="7" t="s">
        <v>192</v>
      </c>
      <c r="G69" s="7"/>
      <c r="H69" s="7"/>
      <c r="I69" s="5"/>
      <c r="J69" s="6" t="s">
        <v>251</v>
      </c>
    </row>
    <row r="70" spans="1:10" s="13" customFormat="1" ht="22" hidden="1">
      <c r="A70" s="4">
        <v>65</v>
      </c>
      <c r="B70" s="4" t="s">
        <v>50</v>
      </c>
      <c r="C70" s="4">
        <v>65</v>
      </c>
      <c r="D70" s="4" t="s">
        <v>51</v>
      </c>
      <c r="E70" s="3" t="s">
        <v>76</v>
      </c>
      <c r="F70" s="7" t="s">
        <v>192</v>
      </c>
      <c r="G70" s="7"/>
      <c r="H70" s="7"/>
      <c r="I70" s="5"/>
      <c r="J70" s="6" t="s">
        <v>251</v>
      </c>
    </row>
    <row r="71" spans="1:10" s="13" customFormat="1" ht="22">
      <c r="A71" s="4">
        <v>66</v>
      </c>
      <c r="B71" s="4" t="s">
        <v>50</v>
      </c>
      <c r="C71" s="4">
        <v>66</v>
      </c>
      <c r="D71" s="4" t="s">
        <v>51</v>
      </c>
      <c r="E71" s="3" t="s">
        <v>77</v>
      </c>
      <c r="F71" s="7" t="s">
        <v>201</v>
      </c>
      <c r="G71" s="7"/>
      <c r="H71" s="7"/>
      <c r="I71" s="5" t="s">
        <v>234</v>
      </c>
      <c r="J71" s="6" t="s">
        <v>249</v>
      </c>
    </row>
    <row r="72" spans="1:10" s="13" customFormat="1" ht="22" hidden="1">
      <c r="A72" s="4">
        <v>67</v>
      </c>
      <c r="B72" s="4" t="s">
        <v>50</v>
      </c>
      <c r="C72" s="4">
        <v>67</v>
      </c>
      <c r="D72" s="4" t="s">
        <v>51</v>
      </c>
      <c r="E72" s="3" t="s">
        <v>78</v>
      </c>
      <c r="F72" s="7" t="s">
        <v>192</v>
      </c>
      <c r="G72" s="7"/>
      <c r="H72" s="7"/>
      <c r="I72" s="5"/>
      <c r="J72" s="6" t="s">
        <v>251</v>
      </c>
    </row>
    <row r="73" spans="1:10" s="13" customFormat="1" ht="19.5" hidden="1" customHeight="1">
      <c r="A73" s="4">
        <v>68</v>
      </c>
      <c r="B73" s="4" t="s">
        <v>50</v>
      </c>
      <c r="C73" s="4">
        <v>68</v>
      </c>
      <c r="D73" s="4" t="s">
        <v>51</v>
      </c>
      <c r="E73" s="3" t="s">
        <v>275</v>
      </c>
      <c r="F73" s="7" t="s">
        <v>192</v>
      </c>
      <c r="G73" s="7"/>
      <c r="H73" s="7"/>
      <c r="I73" s="5"/>
      <c r="J73" s="6" t="s">
        <v>251</v>
      </c>
    </row>
    <row r="74" spans="1:10" s="13" customFormat="1" ht="22" hidden="1">
      <c r="A74" s="4">
        <v>69</v>
      </c>
      <c r="B74" s="4" t="s">
        <v>50</v>
      </c>
      <c r="C74" s="4">
        <v>69</v>
      </c>
      <c r="D74" s="4" t="s">
        <v>51</v>
      </c>
      <c r="E74" s="3" t="s">
        <v>79</v>
      </c>
      <c r="F74" s="7" t="s">
        <v>192</v>
      </c>
      <c r="G74" s="7"/>
      <c r="H74" s="7"/>
      <c r="I74" s="5"/>
      <c r="J74" s="6" t="s">
        <v>251</v>
      </c>
    </row>
    <row r="75" spans="1:10" s="13" customFormat="1" ht="22" hidden="1">
      <c r="A75" s="4">
        <v>70</v>
      </c>
      <c r="B75" s="4" t="s">
        <v>50</v>
      </c>
      <c r="C75" s="4">
        <v>70</v>
      </c>
      <c r="D75" s="4" t="s">
        <v>51</v>
      </c>
      <c r="E75" s="3" t="s">
        <v>80</v>
      </c>
      <c r="F75" s="7" t="s">
        <v>192</v>
      </c>
      <c r="G75" s="7"/>
      <c r="H75" s="7"/>
      <c r="I75" s="5"/>
      <c r="J75" s="6" t="s">
        <v>251</v>
      </c>
    </row>
    <row r="76" spans="1:10" s="13" customFormat="1" ht="22" hidden="1">
      <c r="A76" s="4">
        <v>71</v>
      </c>
      <c r="B76" s="4" t="s">
        <v>50</v>
      </c>
      <c r="C76" s="4">
        <v>71</v>
      </c>
      <c r="D76" s="4" t="s">
        <v>81</v>
      </c>
      <c r="E76" s="3" t="s">
        <v>82</v>
      </c>
      <c r="F76" s="7" t="s">
        <v>192</v>
      </c>
      <c r="G76" s="7"/>
      <c r="H76" s="7"/>
      <c r="I76" s="5"/>
      <c r="J76" s="6" t="s">
        <v>251</v>
      </c>
    </row>
    <row r="77" spans="1:10" s="13" customFormat="1" ht="22" hidden="1">
      <c r="A77" s="4">
        <v>72</v>
      </c>
      <c r="B77" s="4" t="s">
        <v>50</v>
      </c>
      <c r="C77" s="4">
        <v>72</v>
      </c>
      <c r="D77" s="4" t="s">
        <v>81</v>
      </c>
      <c r="E77" s="3" t="s">
        <v>83</v>
      </c>
      <c r="F77" s="7" t="s">
        <v>192</v>
      </c>
      <c r="G77" s="7"/>
      <c r="H77" s="7"/>
      <c r="I77" s="5"/>
      <c r="J77" s="6" t="s">
        <v>251</v>
      </c>
    </row>
    <row r="78" spans="1:10" s="13" customFormat="1" ht="22" hidden="1">
      <c r="A78" s="4">
        <v>73</v>
      </c>
      <c r="B78" s="4" t="s">
        <v>50</v>
      </c>
      <c r="C78" s="4">
        <v>73</v>
      </c>
      <c r="D78" s="4" t="s">
        <v>81</v>
      </c>
      <c r="E78" s="3" t="s">
        <v>84</v>
      </c>
      <c r="F78" s="7" t="s">
        <v>192</v>
      </c>
      <c r="G78" s="7"/>
      <c r="H78" s="7"/>
      <c r="I78" s="5"/>
      <c r="J78" s="6" t="s">
        <v>251</v>
      </c>
    </row>
    <row r="79" spans="1:10" s="13" customFormat="1" ht="22" hidden="1">
      <c r="A79" s="4">
        <v>74</v>
      </c>
      <c r="B79" s="4" t="s">
        <v>50</v>
      </c>
      <c r="C79" s="4">
        <v>74</v>
      </c>
      <c r="D79" s="4" t="s">
        <v>81</v>
      </c>
      <c r="E79" s="3" t="s">
        <v>85</v>
      </c>
      <c r="F79" s="7" t="s">
        <v>192</v>
      </c>
      <c r="G79" s="7"/>
      <c r="H79" s="7"/>
      <c r="I79" s="5"/>
      <c r="J79" s="6" t="s">
        <v>251</v>
      </c>
    </row>
    <row r="80" spans="1:10" s="13" customFormat="1" ht="19.5" hidden="1" customHeight="1">
      <c r="A80" s="4">
        <v>75</v>
      </c>
      <c r="B80" s="4" t="s">
        <v>50</v>
      </c>
      <c r="C80" s="4">
        <v>75</v>
      </c>
      <c r="D80" s="4" t="s">
        <v>81</v>
      </c>
      <c r="E80" s="3" t="s">
        <v>86</v>
      </c>
      <c r="F80" s="7" t="s">
        <v>192</v>
      </c>
      <c r="G80" s="7"/>
      <c r="H80" s="7"/>
      <c r="I80" s="5"/>
      <c r="J80" s="6" t="s">
        <v>251</v>
      </c>
    </row>
    <row r="81" spans="1:10" s="13" customFormat="1" ht="22" hidden="1">
      <c r="A81" s="4">
        <v>76</v>
      </c>
      <c r="B81" s="4" t="s">
        <v>50</v>
      </c>
      <c r="C81" s="4">
        <v>76</v>
      </c>
      <c r="D81" s="4" t="s">
        <v>81</v>
      </c>
      <c r="E81" s="3" t="s">
        <v>87</v>
      </c>
      <c r="F81" s="7" t="s">
        <v>192</v>
      </c>
      <c r="G81" s="7"/>
      <c r="H81" s="7"/>
      <c r="I81" s="5"/>
      <c r="J81" s="6" t="s">
        <v>251</v>
      </c>
    </row>
    <row r="82" spans="1:10" s="13" customFormat="1" ht="22" hidden="1">
      <c r="A82" s="4">
        <v>77</v>
      </c>
      <c r="B82" s="4" t="s">
        <v>50</v>
      </c>
      <c r="C82" s="4">
        <v>77</v>
      </c>
      <c r="D82" s="4" t="s">
        <v>81</v>
      </c>
      <c r="E82" s="3" t="s">
        <v>88</v>
      </c>
      <c r="F82" s="7" t="s">
        <v>192</v>
      </c>
      <c r="G82" s="7"/>
      <c r="H82" s="7"/>
      <c r="I82" s="5"/>
      <c r="J82" s="6" t="s">
        <v>251</v>
      </c>
    </row>
    <row r="83" spans="1:10" s="13" customFormat="1" ht="22" hidden="1">
      <c r="A83" s="4">
        <v>78</v>
      </c>
      <c r="B83" s="4" t="s">
        <v>50</v>
      </c>
      <c r="C83" s="4">
        <v>78</v>
      </c>
      <c r="D83" s="4" t="s">
        <v>81</v>
      </c>
      <c r="E83" s="3" t="s">
        <v>89</v>
      </c>
      <c r="F83" s="7" t="s">
        <v>192</v>
      </c>
      <c r="G83" s="7"/>
      <c r="H83" s="7"/>
      <c r="I83" s="5" t="s">
        <v>243</v>
      </c>
      <c r="J83" s="6" t="s">
        <v>251</v>
      </c>
    </row>
    <row r="84" spans="1:10" s="13" customFormat="1" ht="22" hidden="1">
      <c r="A84" s="4">
        <v>79</v>
      </c>
      <c r="B84" s="4" t="s">
        <v>50</v>
      </c>
      <c r="C84" s="4">
        <v>79</v>
      </c>
      <c r="D84" s="4" t="s">
        <v>81</v>
      </c>
      <c r="E84" s="3" t="s">
        <v>90</v>
      </c>
      <c r="F84" s="7" t="s">
        <v>192</v>
      </c>
      <c r="G84" s="7"/>
      <c r="H84" s="7"/>
      <c r="I84" s="5"/>
      <c r="J84" s="6" t="s">
        <v>251</v>
      </c>
    </row>
    <row r="85" spans="1:10" s="13" customFormat="1" ht="22" hidden="1">
      <c r="A85" s="4">
        <v>80</v>
      </c>
      <c r="B85" s="4" t="s">
        <v>50</v>
      </c>
      <c r="C85" s="4">
        <v>80</v>
      </c>
      <c r="D85" s="4" t="s">
        <v>81</v>
      </c>
      <c r="E85" s="3" t="s">
        <v>91</v>
      </c>
      <c r="F85" s="7" t="s">
        <v>192</v>
      </c>
      <c r="G85" s="7"/>
      <c r="H85" s="7"/>
      <c r="I85" s="5"/>
      <c r="J85" s="6" t="s">
        <v>251</v>
      </c>
    </row>
    <row r="86" spans="1:10" s="13" customFormat="1" ht="22" hidden="1">
      <c r="A86" s="4">
        <v>81</v>
      </c>
      <c r="B86" s="4" t="s">
        <v>50</v>
      </c>
      <c r="C86" s="4">
        <v>81</v>
      </c>
      <c r="D86" s="4" t="s">
        <v>81</v>
      </c>
      <c r="E86" s="3" t="s">
        <v>92</v>
      </c>
      <c r="F86" s="7" t="s">
        <v>192</v>
      </c>
      <c r="G86" s="7"/>
      <c r="H86" s="7"/>
      <c r="I86" s="5"/>
      <c r="J86" s="6" t="s">
        <v>251</v>
      </c>
    </row>
    <row r="87" spans="1:10" s="13" customFormat="1" ht="19.5" hidden="1" customHeight="1">
      <c r="A87" s="4">
        <v>82</v>
      </c>
      <c r="B87" s="4" t="s">
        <v>50</v>
      </c>
      <c r="C87" s="4">
        <v>82</v>
      </c>
      <c r="D87" s="4" t="s">
        <v>81</v>
      </c>
      <c r="E87" s="3" t="s">
        <v>93</v>
      </c>
      <c r="F87" s="7" t="s">
        <v>197</v>
      </c>
      <c r="G87" s="7"/>
      <c r="H87" s="7"/>
      <c r="I87" s="5" t="s">
        <v>242</v>
      </c>
      <c r="J87" s="6" t="s">
        <v>251</v>
      </c>
    </row>
    <row r="88" spans="1:10" s="13" customFormat="1" ht="22" hidden="1">
      <c r="A88" s="4">
        <v>83</v>
      </c>
      <c r="B88" s="4" t="s">
        <v>50</v>
      </c>
      <c r="C88" s="4">
        <v>83</v>
      </c>
      <c r="D88" s="4" t="s">
        <v>81</v>
      </c>
      <c r="E88" s="3" t="s">
        <v>94</v>
      </c>
      <c r="F88" s="7" t="s">
        <v>198</v>
      </c>
      <c r="G88" s="7"/>
      <c r="H88" s="7"/>
      <c r="I88" s="5"/>
      <c r="J88" s="6" t="s">
        <v>251</v>
      </c>
    </row>
    <row r="89" spans="1:10" s="13" customFormat="1" ht="22" hidden="1">
      <c r="A89" s="4">
        <v>84</v>
      </c>
      <c r="B89" s="4" t="s">
        <v>50</v>
      </c>
      <c r="C89" s="4">
        <v>84</v>
      </c>
      <c r="D89" s="4" t="s">
        <v>81</v>
      </c>
      <c r="E89" s="3" t="s">
        <v>95</v>
      </c>
      <c r="F89" s="7" t="s">
        <v>198</v>
      </c>
      <c r="G89" s="7"/>
      <c r="H89" s="7"/>
      <c r="I89" s="5"/>
      <c r="J89" s="6" t="s">
        <v>251</v>
      </c>
    </row>
    <row r="90" spans="1:10" s="13" customFormat="1" ht="22" hidden="1">
      <c r="A90" s="4">
        <v>85</v>
      </c>
      <c r="B90" s="4" t="s">
        <v>50</v>
      </c>
      <c r="C90" s="4">
        <v>85</v>
      </c>
      <c r="D90" s="4" t="s">
        <v>81</v>
      </c>
      <c r="E90" s="3" t="s">
        <v>96</v>
      </c>
      <c r="F90" s="7" t="s">
        <v>192</v>
      </c>
      <c r="G90" s="7"/>
      <c r="H90" s="7"/>
      <c r="I90" s="5" t="s">
        <v>243</v>
      </c>
      <c r="J90" s="6" t="s">
        <v>251</v>
      </c>
    </row>
    <row r="91" spans="1:10" s="13" customFormat="1" ht="22" hidden="1">
      <c r="A91" s="4">
        <v>86</v>
      </c>
      <c r="B91" s="4" t="s">
        <v>50</v>
      </c>
      <c r="C91" s="4">
        <v>86</v>
      </c>
      <c r="D91" s="4" t="s">
        <v>81</v>
      </c>
      <c r="E91" s="3" t="s">
        <v>97</v>
      </c>
      <c r="F91" s="7" t="s">
        <v>192</v>
      </c>
      <c r="G91" s="7"/>
      <c r="H91" s="7"/>
      <c r="I91" s="5"/>
      <c r="J91" s="6" t="s">
        <v>251</v>
      </c>
    </row>
    <row r="92" spans="1:10" s="13" customFormat="1" ht="22" hidden="1">
      <c r="A92" s="4">
        <v>87</v>
      </c>
      <c r="B92" s="4" t="s">
        <v>50</v>
      </c>
      <c r="C92" s="4">
        <v>87</v>
      </c>
      <c r="D92" s="4" t="s">
        <v>81</v>
      </c>
      <c r="E92" s="3" t="s">
        <v>98</v>
      </c>
      <c r="F92" s="7" t="s">
        <v>192</v>
      </c>
      <c r="G92" s="7"/>
      <c r="H92" s="7"/>
      <c r="I92" s="5"/>
      <c r="J92" s="6" t="s">
        <v>251</v>
      </c>
    </row>
    <row r="93" spans="1:10" s="13" customFormat="1" ht="22" hidden="1">
      <c r="A93" s="4">
        <v>88</v>
      </c>
      <c r="B93" s="4" t="s">
        <v>50</v>
      </c>
      <c r="C93" s="4">
        <v>88</v>
      </c>
      <c r="D93" s="4" t="s">
        <v>81</v>
      </c>
      <c r="E93" s="3" t="s">
        <v>99</v>
      </c>
      <c r="F93" s="7" t="s">
        <v>192</v>
      </c>
      <c r="G93" s="7"/>
      <c r="H93" s="7"/>
      <c r="I93" s="5"/>
      <c r="J93" s="6" t="s">
        <v>251</v>
      </c>
    </row>
    <row r="94" spans="1:10" s="13" customFormat="1" ht="19.5" hidden="1" customHeight="1">
      <c r="A94" s="4">
        <v>89</v>
      </c>
      <c r="B94" s="4" t="s">
        <v>50</v>
      </c>
      <c r="C94" s="4">
        <v>89</v>
      </c>
      <c r="D94" s="4" t="s">
        <v>81</v>
      </c>
      <c r="E94" s="3" t="s">
        <v>100</v>
      </c>
      <c r="F94" s="7" t="s">
        <v>192</v>
      </c>
      <c r="G94" s="7"/>
      <c r="H94" s="7"/>
      <c r="I94" s="5"/>
      <c r="J94" s="6" t="s">
        <v>251</v>
      </c>
    </row>
    <row r="95" spans="1:10" s="13" customFormat="1" ht="22">
      <c r="A95" s="4">
        <v>90</v>
      </c>
      <c r="B95" s="4" t="s">
        <v>50</v>
      </c>
      <c r="C95" s="4">
        <v>90</v>
      </c>
      <c r="D95" s="4" t="s">
        <v>81</v>
      </c>
      <c r="E95" s="3" t="s">
        <v>101</v>
      </c>
      <c r="F95" s="7" t="s">
        <v>197</v>
      </c>
      <c r="G95" s="7"/>
      <c r="H95" s="7"/>
      <c r="I95" s="5" t="s">
        <v>234</v>
      </c>
      <c r="J95" s="6" t="s">
        <v>249</v>
      </c>
    </row>
    <row r="96" spans="1:10" s="13" customFormat="1" ht="22" hidden="1">
      <c r="A96" s="4">
        <v>91</v>
      </c>
      <c r="B96" s="4" t="s">
        <v>50</v>
      </c>
      <c r="C96" s="4">
        <v>91</v>
      </c>
      <c r="D96" s="4" t="s">
        <v>81</v>
      </c>
      <c r="E96" s="3" t="s">
        <v>102</v>
      </c>
      <c r="F96" s="7" t="s">
        <v>195</v>
      </c>
      <c r="G96" s="7"/>
      <c r="H96" s="7"/>
      <c r="I96" s="5" t="s">
        <v>236</v>
      </c>
      <c r="J96" s="6" t="s">
        <v>249</v>
      </c>
    </row>
    <row r="97" spans="1:10" s="13" customFormat="1" ht="22">
      <c r="A97" s="4">
        <v>92</v>
      </c>
      <c r="B97" s="4" t="s">
        <v>50</v>
      </c>
      <c r="C97" s="4">
        <v>92</v>
      </c>
      <c r="D97" s="4" t="s">
        <v>81</v>
      </c>
      <c r="E97" s="3" t="s">
        <v>103</v>
      </c>
      <c r="F97" s="7" t="s">
        <v>197</v>
      </c>
      <c r="G97" s="7"/>
      <c r="H97" s="7"/>
      <c r="I97" s="5" t="s">
        <v>234</v>
      </c>
      <c r="J97" s="6" t="s">
        <v>249</v>
      </c>
    </row>
    <row r="98" spans="1:10" s="13" customFormat="1" ht="22" hidden="1">
      <c r="A98" s="4">
        <v>93</v>
      </c>
      <c r="B98" s="4" t="s">
        <v>50</v>
      </c>
      <c r="C98" s="4">
        <v>93</v>
      </c>
      <c r="D98" s="4" t="s">
        <v>81</v>
      </c>
      <c r="E98" s="3" t="s">
        <v>104</v>
      </c>
      <c r="F98" s="7" t="s">
        <v>192</v>
      </c>
      <c r="G98" s="7"/>
      <c r="H98" s="7"/>
      <c r="I98" s="5"/>
      <c r="J98" s="6" t="s">
        <v>251</v>
      </c>
    </row>
    <row r="99" spans="1:10" s="13" customFormat="1" ht="22" hidden="1">
      <c r="A99" s="4">
        <v>94</v>
      </c>
      <c r="B99" s="4" t="s">
        <v>50</v>
      </c>
      <c r="C99" s="4">
        <v>94</v>
      </c>
      <c r="D99" s="4" t="s">
        <v>81</v>
      </c>
      <c r="E99" s="3" t="s">
        <v>105</v>
      </c>
      <c r="F99" s="7" t="s">
        <v>197</v>
      </c>
      <c r="G99" s="7"/>
      <c r="H99" s="7"/>
      <c r="I99" s="5" t="s">
        <v>237</v>
      </c>
      <c r="J99" s="6" t="s">
        <v>251</v>
      </c>
    </row>
    <row r="100" spans="1:10" s="13" customFormat="1" ht="22" hidden="1">
      <c r="A100" s="4">
        <v>95</v>
      </c>
      <c r="B100" s="4" t="s">
        <v>50</v>
      </c>
      <c r="C100" s="4">
        <v>95</v>
      </c>
      <c r="D100" s="4" t="s">
        <v>81</v>
      </c>
      <c r="E100" s="3" t="s">
        <v>106</v>
      </c>
      <c r="F100" s="7" t="s">
        <v>192</v>
      </c>
      <c r="G100" s="7"/>
      <c r="H100" s="7"/>
      <c r="I100" s="5"/>
      <c r="J100" s="6" t="s">
        <v>251</v>
      </c>
    </row>
    <row r="101" spans="1:10" s="13" customFormat="1" ht="19.5" hidden="1" customHeight="1">
      <c r="A101" s="4">
        <v>96</v>
      </c>
      <c r="B101" s="4" t="s">
        <v>50</v>
      </c>
      <c r="C101" s="4">
        <v>96</v>
      </c>
      <c r="D101" s="4" t="s">
        <v>81</v>
      </c>
      <c r="E101" s="3" t="s">
        <v>107</v>
      </c>
      <c r="F101" s="7" t="s">
        <v>192</v>
      </c>
      <c r="G101" s="7"/>
      <c r="H101" s="7"/>
      <c r="I101" s="5"/>
      <c r="J101" s="6" t="s">
        <v>251</v>
      </c>
    </row>
    <row r="102" spans="1:10" s="13" customFormat="1" ht="22" hidden="1">
      <c r="A102" s="4">
        <v>97</v>
      </c>
      <c r="B102" s="4" t="s">
        <v>50</v>
      </c>
      <c r="C102" s="4">
        <v>97</v>
      </c>
      <c r="D102" s="4" t="s">
        <v>81</v>
      </c>
      <c r="E102" s="3" t="s">
        <v>108</v>
      </c>
      <c r="F102" s="7" t="s">
        <v>192</v>
      </c>
      <c r="G102" s="7"/>
      <c r="H102" s="7"/>
      <c r="I102" s="5" t="s">
        <v>236</v>
      </c>
      <c r="J102" s="6" t="s">
        <v>251</v>
      </c>
    </row>
    <row r="103" spans="1:10" s="13" customFormat="1" ht="22" hidden="1">
      <c r="A103" s="4">
        <v>98</v>
      </c>
      <c r="B103" s="4" t="s">
        <v>50</v>
      </c>
      <c r="C103" s="4">
        <v>98</v>
      </c>
      <c r="D103" s="4" t="s">
        <v>81</v>
      </c>
      <c r="E103" s="3" t="s">
        <v>109</v>
      </c>
      <c r="F103" s="7" t="s">
        <v>192</v>
      </c>
      <c r="G103" s="7"/>
      <c r="H103" s="7"/>
      <c r="I103" s="5"/>
      <c r="J103" s="6" t="s">
        <v>251</v>
      </c>
    </row>
    <row r="104" spans="1:10" s="13" customFormat="1" ht="22" hidden="1">
      <c r="A104" s="4">
        <v>99</v>
      </c>
      <c r="B104" s="4" t="s">
        <v>50</v>
      </c>
      <c r="C104" s="4">
        <v>99</v>
      </c>
      <c r="D104" s="4" t="s">
        <v>110</v>
      </c>
      <c r="E104" s="3" t="s">
        <v>111</v>
      </c>
      <c r="F104" s="7" t="s">
        <v>192</v>
      </c>
      <c r="G104" s="7"/>
      <c r="H104" s="7"/>
      <c r="I104" s="5"/>
      <c r="J104" s="6" t="s">
        <v>251</v>
      </c>
    </row>
    <row r="105" spans="1:10" s="13" customFormat="1" ht="22" hidden="1">
      <c r="A105" s="4">
        <v>100</v>
      </c>
      <c r="B105" s="4" t="s">
        <v>50</v>
      </c>
      <c r="C105" s="4">
        <v>100</v>
      </c>
      <c r="D105" s="4" t="s">
        <v>110</v>
      </c>
      <c r="E105" s="3" t="s">
        <v>112</v>
      </c>
      <c r="F105" s="7" t="s">
        <v>192</v>
      </c>
      <c r="G105" s="7"/>
      <c r="H105" s="7"/>
      <c r="I105" s="5"/>
      <c r="J105" s="6" t="s">
        <v>251</v>
      </c>
    </row>
    <row r="106" spans="1:10" s="13" customFormat="1" ht="22" hidden="1">
      <c r="A106" s="4">
        <v>101</v>
      </c>
      <c r="B106" s="4" t="s">
        <v>50</v>
      </c>
      <c r="C106" s="4">
        <v>101</v>
      </c>
      <c r="D106" s="4" t="s">
        <v>110</v>
      </c>
      <c r="E106" s="3" t="s">
        <v>113</v>
      </c>
      <c r="F106" s="7" t="s">
        <v>192</v>
      </c>
      <c r="G106" s="7"/>
      <c r="H106" s="7"/>
      <c r="I106" s="5"/>
      <c r="J106" s="6" t="s">
        <v>251</v>
      </c>
    </row>
    <row r="107" spans="1:10" s="13" customFormat="1" ht="22" hidden="1">
      <c r="A107" s="4">
        <v>102</v>
      </c>
      <c r="B107" s="4" t="s">
        <v>50</v>
      </c>
      <c r="C107" s="4">
        <v>102</v>
      </c>
      <c r="D107" s="4" t="s">
        <v>110</v>
      </c>
      <c r="E107" s="3" t="s">
        <v>114</v>
      </c>
      <c r="F107" s="7" t="s">
        <v>192</v>
      </c>
      <c r="G107" s="7"/>
      <c r="H107" s="7"/>
      <c r="I107" s="5"/>
      <c r="J107" s="6" t="s">
        <v>251</v>
      </c>
    </row>
    <row r="108" spans="1:10" s="13" customFormat="1" ht="19.5" hidden="1" customHeight="1">
      <c r="A108" s="4">
        <v>103</v>
      </c>
      <c r="B108" s="4" t="s">
        <v>50</v>
      </c>
      <c r="C108" s="4">
        <v>103</v>
      </c>
      <c r="D108" s="4" t="s">
        <v>110</v>
      </c>
      <c r="E108" s="3" t="s">
        <v>115</v>
      </c>
      <c r="F108" s="7" t="s">
        <v>197</v>
      </c>
      <c r="G108" s="7"/>
      <c r="H108" s="7"/>
      <c r="I108" s="5" t="s">
        <v>241</v>
      </c>
      <c r="J108" s="6" t="s">
        <v>251</v>
      </c>
    </row>
    <row r="109" spans="1:10" s="13" customFormat="1" ht="22">
      <c r="A109" s="4">
        <v>104</v>
      </c>
      <c r="B109" s="4" t="s">
        <v>50</v>
      </c>
      <c r="C109" s="4">
        <v>104</v>
      </c>
      <c r="D109" s="4" t="s">
        <v>110</v>
      </c>
      <c r="E109" s="3" t="s">
        <v>116</v>
      </c>
      <c r="F109" s="7" t="s">
        <v>194</v>
      </c>
      <c r="G109" s="7"/>
      <c r="H109" s="7"/>
      <c r="I109" s="5" t="s">
        <v>234</v>
      </c>
      <c r="J109" s="6" t="s">
        <v>249</v>
      </c>
    </row>
    <row r="110" spans="1:10" s="13" customFormat="1" ht="22" hidden="1">
      <c r="A110" s="4">
        <v>105</v>
      </c>
      <c r="B110" s="4" t="s">
        <v>50</v>
      </c>
      <c r="C110" s="4">
        <v>105</v>
      </c>
      <c r="D110" s="4" t="s">
        <v>110</v>
      </c>
      <c r="E110" s="3" t="s">
        <v>117</v>
      </c>
      <c r="F110" s="7" t="s">
        <v>192</v>
      </c>
      <c r="G110" s="7"/>
      <c r="H110" s="7"/>
      <c r="I110" s="5" t="s">
        <v>237</v>
      </c>
      <c r="J110" s="6" t="s">
        <v>251</v>
      </c>
    </row>
    <row r="111" spans="1:10" s="13" customFormat="1" ht="22" hidden="1">
      <c r="A111" s="4">
        <v>106</v>
      </c>
      <c r="B111" s="4" t="s">
        <v>50</v>
      </c>
      <c r="C111" s="4">
        <v>106</v>
      </c>
      <c r="D111" s="4" t="s">
        <v>110</v>
      </c>
      <c r="E111" s="3" t="s">
        <v>118</v>
      </c>
      <c r="F111" s="7" t="s">
        <v>192</v>
      </c>
      <c r="G111" s="7"/>
      <c r="H111" s="7"/>
      <c r="I111" s="5" t="s">
        <v>239</v>
      </c>
      <c r="J111" s="6" t="s">
        <v>251</v>
      </c>
    </row>
    <row r="112" spans="1:10" s="13" customFormat="1" ht="22" hidden="1">
      <c r="A112" s="4">
        <v>107</v>
      </c>
      <c r="B112" s="4" t="s">
        <v>50</v>
      </c>
      <c r="C112" s="4">
        <v>107</v>
      </c>
      <c r="D112" s="4" t="s">
        <v>110</v>
      </c>
      <c r="E112" s="3" t="s">
        <v>119</v>
      </c>
      <c r="F112" s="7" t="s">
        <v>195</v>
      </c>
      <c r="G112" s="7"/>
      <c r="H112" s="7"/>
      <c r="I112" s="5" t="s">
        <v>236</v>
      </c>
      <c r="J112" s="6" t="s">
        <v>251</v>
      </c>
    </row>
    <row r="113" spans="1:10" s="13" customFormat="1" ht="22" hidden="1">
      <c r="A113" s="4">
        <v>108</v>
      </c>
      <c r="B113" s="4" t="s">
        <v>50</v>
      </c>
      <c r="C113" s="4">
        <v>108</v>
      </c>
      <c r="D113" s="4" t="s">
        <v>110</v>
      </c>
      <c r="E113" s="3" t="s">
        <v>120</v>
      </c>
      <c r="F113" s="7" t="s">
        <v>203</v>
      </c>
      <c r="G113" s="7"/>
      <c r="H113" s="7"/>
      <c r="I113" s="5" t="s">
        <v>241</v>
      </c>
      <c r="J113" s="6" t="s">
        <v>251</v>
      </c>
    </row>
    <row r="114" spans="1:10" s="13" customFormat="1" ht="22" hidden="1">
      <c r="A114" s="4">
        <v>109</v>
      </c>
      <c r="B114" s="4" t="s">
        <v>50</v>
      </c>
      <c r="C114" s="4">
        <v>109</v>
      </c>
      <c r="D114" s="4" t="s">
        <v>110</v>
      </c>
      <c r="E114" s="3" t="s">
        <v>121</v>
      </c>
      <c r="F114" s="7" t="s">
        <v>203</v>
      </c>
      <c r="G114" s="7"/>
      <c r="H114" s="7"/>
      <c r="I114" s="5" t="s">
        <v>234</v>
      </c>
      <c r="J114" s="6" t="s">
        <v>251</v>
      </c>
    </row>
    <row r="115" spans="1:10" s="13" customFormat="1" ht="19.5" hidden="1" customHeight="1">
      <c r="A115" s="4">
        <v>110</v>
      </c>
      <c r="B115" s="4" t="s">
        <v>50</v>
      </c>
      <c r="C115" s="4">
        <v>110</v>
      </c>
      <c r="D115" s="4" t="s">
        <v>110</v>
      </c>
      <c r="E115" s="3" t="s">
        <v>122</v>
      </c>
      <c r="F115" s="7" t="s">
        <v>195</v>
      </c>
      <c r="G115" s="7"/>
      <c r="H115" s="7"/>
      <c r="I115" s="5"/>
      <c r="J115" s="6" t="s">
        <v>251</v>
      </c>
    </row>
    <row r="116" spans="1:10" s="13" customFormat="1" ht="22" hidden="1">
      <c r="A116" s="4">
        <v>111</v>
      </c>
      <c r="B116" s="4" t="s">
        <v>50</v>
      </c>
      <c r="C116" s="4">
        <v>111</v>
      </c>
      <c r="D116" s="4" t="s">
        <v>110</v>
      </c>
      <c r="E116" s="3" t="s">
        <v>123</v>
      </c>
      <c r="F116" s="7" t="s">
        <v>195</v>
      </c>
      <c r="G116" s="7"/>
      <c r="H116" s="7"/>
      <c r="I116" s="5" t="s">
        <v>241</v>
      </c>
      <c r="J116" s="6" t="s">
        <v>249</v>
      </c>
    </row>
    <row r="117" spans="1:10" s="13" customFormat="1" ht="22" hidden="1">
      <c r="A117" s="4">
        <v>112</v>
      </c>
      <c r="B117" s="4" t="s">
        <v>50</v>
      </c>
      <c r="C117" s="4">
        <v>112</v>
      </c>
      <c r="D117" s="4" t="s">
        <v>110</v>
      </c>
      <c r="E117" s="3" t="s">
        <v>244</v>
      </c>
      <c r="F117" s="7" t="s">
        <v>195</v>
      </c>
      <c r="G117" s="7"/>
      <c r="H117" s="7"/>
      <c r="I117" s="5" t="s">
        <v>235</v>
      </c>
      <c r="J117" s="6" t="s">
        <v>249</v>
      </c>
    </row>
    <row r="118" spans="1:10" s="13" customFormat="1" ht="22" hidden="1">
      <c r="A118" s="4">
        <v>113</v>
      </c>
      <c r="B118" s="4" t="s">
        <v>50</v>
      </c>
      <c r="C118" s="4">
        <v>113</v>
      </c>
      <c r="D118" s="4" t="s">
        <v>124</v>
      </c>
      <c r="E118" s="3" t="s">
        <v>125</v>
      </c>
      <c r="F118" s="7" t="s">
        <v>192</v>
      </c>
      <c r="G118" s="7"/>
      <c r="H118" s="7"/>
      <c r="I118" s="5"/>
      <c r="J118" s="6" t="s">
        <v>251</v>
      </c>
    </row>
    <row r="119" spans="1:10" s="13" customFormat="1" ht="22" hidden="1">
      <c r="A119" s="4">
        <v>114</v>
      </c>
      <c r="B119" s="4" t="s">
        <v>50</v>
      </c>
      <c r="C119" s="4">
        <v>114</v>
      </c>
      <c r="D119" s="4" t="s">
        <v>124</v>
      </c>
      <c r="E119" s="3" t="s">
        <v>126</v>
      </c>
      <c r="F119" s="7" t="s">
        <v>197</v>
      </c>
      <c r="G119" s="7"/>
      <c r="H119" s="7"/>
      <c r="I119" s="5"/>
      <c r="J119" s="6" t="s">
        <v>251</v>
      </c>
    </row>
    <row r="120" spans="1:10" s="13" customFormat="1" ht="22" hidden="1">
      <c r="A120" s="4">
        <v>115</v>
      </c>
      <c r="B120" s="4" t="s">
        <v>50</v>
      </c>
      <c r="C120" s="4">
        <v>115</v>
      </c>
      <c r="D120" s="4" t="s">
        <v>124</v>
      </c>
      <c r="E120" s="3" t="s">
        <v>127</v>
      </c>
      <c r="F120" s="7" t="s">
        <v>192</v>
      </c>
      <c r="G120" s="7"/>
      <c r="H120" s="7"/>
      <c r="I120" s="5"/>
      <c r="J120" s="6" t="s">
        <v>251</v>
      </c>
    </row>
    <row r="121" spans="1:10" s="13" customFormat="1" ht="22" hidden="1">
      <c r="A121" s="4">
        <v>116</v>
      </c>
      <c r="B121" s="4" t="s">
        <v>50</v>
      </c>
      <c r="C121" s="4">
        <v>116</v>
      </c>
      <c r="D121" s="4" t="s">
        <v>124</v>
      </c>
      <c r="E121" s="3" t="s">
        <v>128</v>
      </c>
      <c r="F121" s="7" t="s">
        <v>195</v>
      </c>
      <c r="G121" s="7"/>
      <c r="H121" s="7"/>
      <c r="I121" s="5" t="s">
        <v>237</v>
      </c>
      <c r="J121" s="6" t="s">
        <v>251</v>
      </c>
    </row>
    <row r="122" spans="1:10" s="13" customFormat="1" ht="19.5" hidden="1" customHeight="1">
      <c r="A122" s="4">
        <v>117</v>
      </c>
      <c r="B122" s="4" t="s">
        <v>50</v>
      </c>
      <c r="C122" s="4">
        <v>117</v>
      </c>
      <c r="D122" s="4" t="s">
        <v>124</v>
      </c>
      <c r="E122" s="3" t="s">
        <v>129</v>
      </c>
      <c r="F122" s="7" t="s">
        <v>192</v>
      </c>
      <c r="G122" s="7"/>
      <c r="H122" s="7"/>
      <c r="I122" s="5" t="s">
        <v>241</v>
      </c>
      <c r="J122" s="6" t="s">
        <v>251</v>
      </c>
    </row>
    <row r="123" spans="1:10" s="13" customFormat="1" ht="22" hidden="1">
      <c r="A123" s="4">
        <v>118</v>
      </c>
      <c r="B123" s="4" t="s">
        <v>50</v>
      </c>
      <c r="C123" s="4">
        <v>118</v>
      </c>
      <c r="D123" s="4" t="s">
        <v>124</v>
      </c>
      <c r="E123" s="3" t="s">
        <v>130</v>
      </c>
      <c r="F123" s="7" t="s">
        <v>192</v>
      </c>
      <c r="G123" s="7"/>
      <c r="H123" s="7"/>
      <c r="I123" s="5"/>
      <c r="J123" s="6" t="s">
        <v>251</v>
      </c>
    </row>
    <row r="124" spans="1:10" s="13" customFormat="1" ht="22" hidden="1">
      <c r="A124" s="4">
        <v>119</v>
      </c>
      <c r="B124" s="4" t="s">
        <v>50</v>
      </c>
      <c r="C124" s="4">
        <v>119</v>
      </c>
      <c r="D124" s="4" t="s">
        <v>124</v>
      </c>
      <c r="E124" s="3" t="s">
        <v>131</v>
      </c>
      <c r="F124" s="7" t="s">
        <v>197</v>
      </c>
      <c r="G124" s="7"/>
      <c r="H124" s="7"/>
      <c r="I124" s="5"/>
      <c r="J124" s="6" t="s">
        <v>251</v>
      </c>
    </row>
    <row r="125" spans="1:10" s="13" customFormat="1" ht="22" hidden="1">
      <c r="A125" s="4">
        <v>120</v>
      </c>
      <c r="B125" s="4" t="s">
        <v>50</v>
      </c>
      <c r="C125" s="4">
        <v>120</v>
      </c>
      <c r="D125" s="4" t="s">
        <v>124</v>
      </c>
      <c r="E125" s="3" t="s">
        <v>132</v>
      </c>
      <c r="F125" s="7" t="s">
        <v>197</v>
      </c>
      <c r="G125" s="7"/>
      <c r="H125" s="7"/>
      <c r="I125" s="5"/>
      <c r="J125" s="6" t="s">
        <v>251</v>
      </c>
    </row>
    <row r="126" spans="1:10" s="13" customFormat="1" ht="22" hidden="1">
      <c r="A126" s="4">
        <v>121</v>
      </c>
      <c r="B126" s="4" t="s">
        <v>50</v>
      </c>
      <c r="C126" s="4">
        <v>121</v>
      </c>
      <c r="D126" s="4" t="s">
        <v>124</v>
      </c>
      <c r="E126" s="3" t="s">
        <v>133</v>
      </c>
      <c r="F126" s="7" t="s">
        <v>196</v>
      </c>
      <c r="G126" s="7"/>
      <c r="H126" s="7"/>
      <c r="I126" s="5"/>
      <c r="J126" s="6" t="s">
        <v>251</v>
      </c>
    </row>
    <row r="127" spans="1:10" s="13" customFormat="1" ht="22" hidden="1">
      <c r="A127" s="4">
        <v>122</v>
      </c>
      <c r="B127" s="4" t="s">
        <v>50</v>
      </c>
      <c r="C127" s="4">
        <v>122</v>
      </c>
      <c r="D127" s="4" t="s">
        <v>124</v>
      </c>
      <c r="E127" s="5" t="s">
        <v>276</v>
      </c>
      <c r="F127" s="7" t="s">
        <v>192</v>
      </c>
      <c r="G127" s="7"/>
      <c r="H127" s="7"/>
      <c r="I127" s="5"/>
      <c r="J127" s="6" t="s">
        <v>251</v>
      </c>
    </row>
    <row r="128" spans="1:10" s="13" customFormat="1" ht="22" hidden="1">
      <c r="A128" s="4">
        <v>123</v>
      </c>
      <c r="B128" s="4" t="s">
        <v>50</v>
      </c>
      <c r="C128" s="4">
        <v>123</v>
      </c>
      <c r="D128" s="4" t="s">
        <v>124</v>
      </c>
      <c r="E128" s="3" t="s">
        <v>134</v>
      </c>
      <c r="F128" s="7" t="s">
        <v>192</v>
      </c>
      <c r="G128" s="7"/>
      <c r="H128" s="7"/>
      <c r="I128" s="5"/>
      <c r="J128" s="6" t="s">
        <v>251</v>
      </c>
    </row>
    <row r="129" spans="1:10" s="13" customFormat="1" ht="19.5" hidden="1" customHeight="1">
      <c r="A129" s="4">
        <v>124</v>
      </c>
      <c r="B129" s="4" t="s">
        <v>50</v>
      </c>
      <c r="C129" s="4">
        <v>124</v>
      </c>
      <c r="D129" s="4" t="s">
        <v>124</v>
      </c>
      <c r="E129" s="3" t="s">
        <v>135</v>
      </c>
      <c r="F129" s="7" t="s">
        <v>192</v>
      </c>
      <c r="G129" s="7"/>
      <c r="H129" s="7"/>
      <c r="I129" s="5"/>
      <c r="J129" s="6" t="s">
        <v>251</v>
      </c>
    </row>
    <row r="130" spans="1:10" s="13" customFormat="1" ht="22" hidden="1">
      <c r="A130" s="4">
        <v>125</v>
      </c>
      <c r="B130" s="4" t="s">
        <v>50</v>
      </c>
      <c r="C130" s="4">
        <v>125</v>
      </c>
      <c r="D130" s="4" t="s">
        <v>124</v>
      </c>
      <c r="E130" s="3" t="s">
        <v>136</v>
      </c>
      <c r="F130" s="7" t="s">
        <v>197</v>
      </c>
      <c r="G130" s="7"/>
      <c r="H130" s="7"/>
      <c r="I130" s="5"/>
      <c r="J130" s="6" t="s">
        <v>251</v>
      </c>
    </row>
    <row r="131" spans="1:10" s="13" customFormat="1" ht="22" hidden="1">
      <c r="A131" s="4">
        <v>126</v>
      </c>
      <c r="B131" s="4" t="s">
        <v>50</v>
      </c>
      <c r="C131" s="4">
        <v>126</v>
      </c>
      <c r="D131" s="4" t="s">
        <v>124</v>
      </c>
      <c r="E131" s="3" t="s">
        <v>137</v>
      </c>
      <c r="F131" s="7" t="s">
        <v>197</v>
      </c>
      <c r="G131" s="7"/>
      <c r="H131" s="7"/>
      <c r="I131" s="5"/>
      <c r="J131" s="6" t="s">
        <v>251</v>
      </c>
    </row>
    <row r="132" spans="1:10" s="13" customFormat="1" ht="22">
      <c r="A132" s="4">
        <v>127</v>
      </c>
      <c r="B132" s="4" t="s">
        <v>50</v>
      </c>
      <c r="C132" s="4">
        <v>127</v>
      </c>
      <c r="D132" s="4" t="s">
        <v>124</v>
      </c>
      <c r="E132" s="3" t="s">
        <v>138</v>
      </c>
      <c r="F132" s="7" t="s">
        <v>201</v>
      </c>
      <c r="G132" s="7"/>
      <c r="H132" s="7"/>
      <c r="I132" s="5" t="s">
        <v>234</v>
      </c>
      <c r="J132" s="6" t="s">
        <v>249</v>
      </c>
    </row>
    <row r="133" spans="1:10" s="13" customFormat="1" ht="22" hidden="1">
      <c r="A133" s="4">
        <v>128</v>
      </c>
      <c r="B133" s="4" t="s">
        <v>50</v>
      </c>
      <c r="C133" s="4">
        <v>128</v>
      </c>
      <c r="D133" s="4" t="s">
        <v>139</v>
      </c>
      <c r="E133" s="3" t="s">
        <v>140</v>
      </c>
      <c r="F133" s="7" t="s">
        <v>197</v>
      </c>
      <c r="G133" s="7"/>
      <c r="H133" s="7"/>
      <c r="I133" s="5"/>
      <c r="J133" s="6" t="s">
        <v>251</v>
      </c>
    </row>
    <row r="134" spans="1:10" s="13" customFormat="1" ht="22" hidden="1">
      <c r="A134" s="4">
        <v>129</v>
      </c>
      <c r="B134" s="4" t="s">
        <v>50</v>
      </c>
      <c r="C134" s="4">
        <v>129</v>
      </c>
      <c r="D134" s="4" t="s">
        <v>139</v>
      </c>
      <c r="E134" s="3" t="s">
        <v>141</v>
      </c>
      <c r="F134" s="7" t="s">
        <v>192</v>
      </c>
      <c r="G134" s="7"/>
      <c r="H134" s="7"/>
      <c r="I134" s="5" t="s">
        <v>243</v>
      </c>
      <c r="J134" s="6" t="s">
        <v>251</v>
      </c>
    </row>
    <row r="135" spans="1:10" s="13" customFormat="1" ht="22" hidden="1">
      <c r="A135" s="4">
        <v>130</v>
      </c>
      <c r="B135" s="4" t="s">
        <v>50</v>
      </c>
      <c r="C135" s="4">
        <v>130</v>
      </c>
      <c r="D135" s="4" t="s">
        <v>142</v>
      </c>
      <c r="E135" s="3" t="s">
        <v>143</v>
      </c>
      <c r="F135" s="7" t="s">
        <v>203</v>
      </c>
      <c r="G135" s="7"/>
      <c r="H135" s="7"/>
      <c r="I135" s="5" t="s">
        <v>238</v>
      </c>
      <c r="J135" s="6" t="s">
        <v>251</v>
      </c>
    </row>
    <row r="136" spans="1:10" s="13" customFormat="1" ht="19.5" hidden="1" customHeight="1">
      <c r="A136" s="4">
        <v>131</v>
      </c>
      <c r="B136" s="4" t="s">
        <v>50</v>
      </c>
      <c r="C136" s="4">
        <v>131</v>
      </c>
      <c r="D136" s="4" t="s">
        <v>142</v>
      </c>
      <c r="E136" s="3" t="s">
        <v>144</v>
      </c>
      <c r="F136" s="7" t="s">
        <v>203</v>
      </c>
      <c r="G136" s="7"/>
      <c r="H136" s="7"/>
      <c r="I136" s="5" t="s">
        <v>242</v>
      </c>
      <c r="J136" s="6" t="s">
        <v>251</v>
      </c>
    </row>
    <row r="137" spans="1:10" s="13" customFormat="1" ht="22" hidden="1">
      <c r="A137" s="4">
        <v>132</v>
      </c>
      <c r="B137" s="4" t="s">
        <v>6</v>
      </c>
      <c r="C137" s="4">
        <v>132</v>
      </c>
      <c r="D137" s="4" t="s">
        <v>6</v>
      </c>
      <c r="E137" s="3" t="s">
        <v>145</v>
      </c>
      <c r="F137" s="7" t="s">
        <v>197</v>
      </c>
      <c r="G137" s="7"/>
      <c r="H137" s="7"/>
      <c r="I137" s="5"/>
      <c r="J137" s="6" t="s">
        <v>251</v>
      </c>
    </row>
    <row r="138" spans="1:10" s="13" customFormat="1" ht="22">
      <c r="A138" s="4">
        <v>133</v>
      </c>
      <c r="B138" s="4" t="s">
        <v>6</v>
      </c>
      <c r="C138" s="4">
        <v>133</v>
      </c>
      <c r="D138" s="4" t="s">
        <v>6</v>
      </c>
      <c r="E138" s="3" t="s">
        <v>146</v>
      </c>
      <c r="F138" s="7" t="s">
        <v>197</v>
      </c>
      <c r="G138" s="7"/>
      <c r="H138" s="7"/>
      <c r="I138" s="5" t="s">
        <v>234</v>
      </c>
      <c r="J138" s="6" t="s">
        <v>249</v>
      </c>
    </row>
    <row r="139" spans="1:10" s="13" customFormat="1" ht="22" hidden="1">
      <c r="A139" s="4">
        <v>134</v>
      </c>
      <c r="B139" s="4" t="s">
        <v>6</v>
      </c>
      <c r="C139" s="4">
        <v>134</v>
      </c>
      <c r="D139" s="4" t="s">
        <v>6</v>
      </c>
      <c r="E139" s="3" t="s">
        <v>147</v>
      </c>
      <c r="F139" s="7" t="s">
        <v>197</v>
      </c>
      <c r="G139" s="7"/>
      <c r="H139" s="7"/>
      <c r="I139" s="5"/>
      <c r="J139" s="6" t="s">
        <v>251</v>
      </c>
    </row>
    <row r="140" spans="1:10" s="13" customFormat="1" ht="22" hidden="1">
      <c r="A140" s="4">
        <v>135</v>
      </c>
      <c r="B140" s="4" t="s">
        <v>6</v>
      </c>
      <c r="C140" s="4">
        <v>135</v>
      </c>
      <c r="D140" s="4" t="s">
        <v>6</v>
      </c>
      <c r="E140" s="3" t="s">
        <v>148</v>
      </c>
      <c r="F140" s="7" t="s">
        <v>195</v>
      </c>
      <c r="G140" s="7"/>
      <c r="H140" s="7"/>
      <c r="I140" s="5" t="s">
        <v>237</v>
      </c>
      <c r="J140" s="6" t="s">
        <v>249</v>
      </c>
    </row>
    <row r="141" spans="1:10" s="13" customFormat="1" ht="22">
      <c r="A141" s="4">
        <v>136</v>
      </c>
      <c r="B141" s="4" t="s">
        <v>6</v>
      </c>
      <c r="C141" s="4">
        <v>136</v>
      </c>
      <c r="D141" s="4" t="s">
        <v>6</v>
      </c>
      <c r="E141" s="3" t="s">
        <v>149</v>
      </c>
      <c r="F141" s="7" t="s">
        <v>195</v>
      </c>
      <c r="G141" s="7"/>
      <c r="H141" s="7"/>
      <c r="I141" s="5" t="s">
        <v>234</v>
      </c>
      <c r="J141" s="6" t="s">
        <v>249</v>
      </c>
    </row>
    <row r="142" spans="1:10" s="13" customFormat="1" ht="22" hidden="1">
      <c r="A142" s="4">
        <v>137</v>
      </c>
      <c r="B142" s="4" t="s">
        <v>6</v>
      </c>
      <c r="C142" s="4">
        <v>137</v>
      </c>
      <c r="D142" s="4" t="s">
        <v>6</v>
      </c>
      <c r="E142" s="3" t="s">
        <v>150</v>
      </c>
      <c r="F142" s="7" t="s">
        <v>195</v>
      </c>
      <c r="G142" s="7"/>
      <c r="H142" s="7"/>
      <c r="I142" s="5" t="s">
        <v>239</v>
      </c>
      <c r="J142" s="6" t="s">
        <v>249</v>
      </c>
    </row>
    <row r="143" spans="1:10" s="13" customFormat="1" ht="19.5" customHeight="1">
      <c r="A143" s="4">
        <v>138</v>
      </c>
      <c r="B143" s="4" t="s">
        <v>6</v>
      </c>
      <c r="C143" s="4">
        <v>138</v>
      </c>
      <c r="D143" s="4" t="s">
        <v>6</v>
      </c>
      <c r="E143" s="3" t="s">
        <v>245</v>
      </c>
      <c r="F143" s="7" t="s">
        <v>195</v>
      </c>
      <c r="G143" s="7"/>
      <c r="H143" s="7"/>
      <c r="I143" s="5" t="s">
        <v>234</v>
      </c>
      <c r="J143" s="6" t="s">
        <v>249</v>
      </c>
    </row>
    <row r="144" spans="1:10" s="13" customFormat="1" ht="22">
      <c r="A144" s="4">
        <v>139</v>
      </c>
      <c r="B144" s="4" t="s">
        <v>6</v>
      </c>
      <c r="C144" s="4">
        <v>139</v>
      </c>
      <c r="D144" s="4" t="s">
        <v>6</v>
      </c>
      <c r="E144" s="3" t="s">
        <v>151</v>
      </c>
      <c r="F144" s="7" t="s">
        <v>195</v>
      </c>
      <c r="G144" s="7"/>
      <c r="H144" s="7"/>
      <c r="I144" s="5" t="s">
        <v>234</v>
      </c>
      <c r="J144" s="6" t="s">
        <v>249</v>
      </c>
    </row>
    <row r="145" spans="1:10" s="13" customFormat="1" ht="22">
      <c r="A145" s="4">
        <v>140</v>
      </c>
      <c r="B145" s="4" t="s">
        <v>6</v>
      </c>
      <c r="C145" s="4">
        <v>140</v>
      </c>
      <c r="D145" s="4" t="s">
        <v>6</v>
      </c>
      <c r="E145" s="3" t="s">
        <v>152</v>
      </c>
      <c r="F145" s="7" t="s">
        <v>195</v>
      </c>
      <c r="G145" s="7"/>
      <c r="H145" s="7"/>
      <c r="I145" s="5" t="s">
        <v>234</v>
      </c>
      <c r="J145" s="6" t="s">
        <v>249</v>
      </c>
    </row>
    <row r="146" spans="1:10" s="13" customFormat="1" ht="22">
      <c r="A146" s="4">
        <v>141</v>
      </c>
      <c r="B146" s="4" t="s">
        <v>6</v>
      </c>
      <c r="C146" s="4">
        <v>141</v>
      </c>
      <c r="D146" s="4" t="s">
        <v>6</v>
      </c>
      <c r="E146" s="3" t="s">
        <v>153</v>
      </c>
      <c r="F146" s="7" t="s">
        <v>195</v>
      </c>
      <c r="G146" s="7"/>
      <c r="H146" s="7"/>
      <c r="I146" s="5" t="s">
        <v>234</v>
      </c>
      <c r="J146" s="6" t="s">
        <v>249</v>
      </c>
    </row>
    <row r="147" spans="1:10" s="13" customFormat="1" ht="22" hidden="1">
      <c r="A147" s="4">
        <v>142</v>
      </c>
      <c r="B147" s="4" t="s">
        <v>6</v>
      </c>
      <c r="C147" s="4">
        <v>142</v>
      </c>
      <c r="D147" s="4" t="s">
        <v>6</v>
      </c>
      <c r="E147" s="3" t="s">
        <v>154</v>
      </c>
      <c r="F147" s="7" t="s">
        <v>192</v>
      </c>
      <c r="G147" s="7"/>
      <c r="H147" s="7"/>
      <c r="I147" s="5" t="s">
        <v>237</v>
      </c>
      <c r="J147" s="6" t="s">
        <v>251</v>
      </c>
    </row>
    <row r="148" spans="1:10" s="13" customFormat="1" ht="22" hidden="1">
      <c r="A148" s="4">
        <v>143</v>
      </c>
      <c r="B148" s="4" t="s">
        <v>6</v>
      </c>
      <c r="C148" s="4">
        <v>143</v>
      </c>
      <c r="D148" s="4" t="s">
        <v>6</v>
      </c>
      <c r="E148" s="3" t="s">
        <v>155</v>
      </c>
      <c r="F148" s="7" t="s">
        <v>192</v>
      </c>
      <c r="G148" s="7"/>
      <c r="H148" s="7"/>
      <c r="I148" s="5"/>
      <c r="J148" s="6" t="s">
        <v>251</v>
      </c>
    </row>
    <row r="149" spans="1:10" s="13" customFormat="1" ht="22" hidden="1">
      <c r="A149" s="4">
        <v>144</v>
      </c>
      <c r="B149" s="4" t="s">
        <v>6</v>
      </c>
      <c r="C149" s="4">
        <v>144</v>
      </c>
      <c r="D149" s="4" t="s">
        <v>6</v>
      </c>
      <c r="E149" s="3" t="s">
        <v>156</v>
      </c>
      <c r="F149" s="7" t="s">
        <v>197</v>
      </c>
      <c r="G149" s="7"/>
      <c r="H149" s="7"/>
      <c r="I149" s="5"/>
      <c r="J149" s="6" t="s">
        <v>251</v>
      </c>
    </row>
    <row r="150" spans="1:10" s="13" customFormat="1" ht="19.5" hidden="1" customHeight="1">
      <c r="A150" s="4">
        <v>145</v>
      </c>
      <c r="B150" s="4" t="s">
        <v>6</v>
      </c>
      <c r="C150" s="4">
        <v>145</v>
      </c>
      <c r="D150" s="4" t="s">
        <v>6</v>
      </c>
      <c r="E150" s="3" t="s">
        <v>157</v>
      </c>
      <c r="F150" s="7" t="s">
        <v>192</v>
      </c>
      <c r="G150" s="7"/>
      <c r="H150" s="7"/>
      <c r="I150" s="5"/>
      <c r="J150" s="6" t="s">
        <v>251</v>
      </c>
    </row>
    <row r="151" spans="1:10" s="13" customFormat="1" ht="22" hidden="1">
      <c r="A151" s="4">
        <v>146</v>
      </c>
      <c r="B151" s="4" t="s">
        <v>6</v>
      </c>
      <c r="C151" s="4">
        <v>146</v>
      </c>
      <c r="D151" s="4" t="s">
        <v>6</v>
      </c>
      <c r="E151" s="3" t="s">
        <v>158</v>
      </c>
      <c r="F151" s="7" t="s">
        <v>197</v>
      </c>
      <c r="G151" s="7"/>
      <c r="H151" s="7"/>
      <c r="I151" s="5" t="s">
        <v>236</v>
      </c>
      <c r="J151" s="6" t="s">
        <v>251</v>
      </c>
    </row>
    <row r="152" spans="1:10" s="13" customFormat="1" ht="22" hidden="1">
      <c r="A152" s="4">
        <v>147</v>
      </c>
      <c r="B152" s="4" t="s">
        <v>6</v>
      </c>
      <c r="C152" s="4">
        <v>147</v>
      </c>
      <c r="D152" s="4" t="s">
        <v>6</v>
      </c>
      <c r="E152" s="3" t="s">
        <v>159</v>
      </c>
      <c r="F152" s="7" t="s">
        <v>202</v>
      </c>
      <c r="G152" s="7"/>
      <c r="H152" s="7"/>
      <c r="I152" s="5" t="s">
        <v>236</v>
      </c>
      <c r="J152" s="6" t="s">
        <v>251</v>
      </c>
    </row>
    <row r="153" spans="1:10" s="13" customFormat="1" ht="22" hidden="1">
      <c r="A153" s="4">
        <v>148</v>
      </c>
      <c r="B153" s="4" t="s">
        <v>6</v>
      </c>
      <c r="C153" s="4">
        <v>148</v>
      </c>
      <c r="D153" s="4" t="s">
        <v>6</v>
      </c>
      <c r="E153" s="3" t="s">
        <v>160</v>
      </c>
      <c r="F153" s="7" t="s">
        <v>192</v>
      </c>
      <c r="G153" s="7"/>
      <c r="H153" s="7"/>
      <c r="I153" s="5"/>
      <c r="J153" s="6" t="s">
        <v>251</v>
      </c>
    </row>
    <row r="154" spans="1:10" s="13" customFormat="1" ht="22" hidden="1">
      <c r="A154" s="4">
        <v>149</v>
      </c>
      <c r="B154" s="4" t="s">
        <v>6</v>
      </c>
      <c r="C154" s="4">
        <v>149</v>
      </c>
      <c r="D154" s="4" t="s">
        <v>6</v>
      </c>
      <c r="E154" s="3" t="s">
        <v>161</v>
      </c>
      <c r="F154" s="7" t="s">
        <v>197</v>
      </c>
      <c r="G154" s="7"/>
      <c r="H154" s="7"/>
      <c r="I154" s="5"/>
      <c r="J154" s="6" t="s">
        <v>251</v>
      </c>
    </row>
    <row r="155" spans="1:10" s="13" customFormat="1" ht="22" hidden="1">
      <c r="A155" s="4">
        <v>150</v>
      </c>
      <c r="B155" s="4" t="s">
        <v>6</v>
      </c>
      <c r="C155" s="4">
        <v>150</v>
      </c>
      <c r="D155" s="4" t="s">
        <v>6</v>
      </c>
      <c r="E155" s="3" t="s">
        <v>162</v>
      </c>
      <c r="F155" s="7" t="s">
        <v>192</v>
      </c>
      <c r="G155" s="7"/>
      <c r="H155" s="7"/>
      <c r="I155" s="5"/>
      <c r="J155" s="6" t="s">
        <v>251</v>
      </c>
    </row>
    <row r="156" spans="1:10" s="13" customFormat="1" ht="22">
      <c r="A156" s="4">
        <v>151</v>
      </c>
      <c r="B156" s="4" t="s">
        <v>6</v>
      </c>
      <c r="C156" s="4">
        <v>151</v>
      </c>
      <c r="D156" s="4" t="s">
        <v>6</v>
      </c>
      <c r="E156" s="3" t="s">
        <v>163</v>
      </c>
      <c r="F156" s="7" t="s">
        <v>201</v>
      </c>
      <c r="G156" s="7"/>
      <c r="H156" s="7"/>
      <c r="I156" s="5" t="s">
        <v>234</v>
      </c>
      <c r="J156" s="6" t="s">
        <v>249</v>
      </c>
    </row>
    <row r="157" spans="1:10" s="13" customFormat="1" ht="19.5" hidden="1" customHeight="1">
      <c r="A157" s="4">
        <v>152</v>
      </c>
      <c r="B157" s="4" t="s">
        <v>6</v>
      </c>
      <c r="C157" s="4">
        <v>152</v>
      </c>
      <c r="D157" s="4" t="s">
        <v>6</v>
      </c>
      <c r="E157" s="3" t="s">
        <v>164</v>
      </c>
      <c r="F157" s="7" t="s">
        <v>201</v>
      </c>
      <c r="G157" s="7"/>
      <c r="H157" s="7"/>
      <c r="I157" s="5" t="s">
        <v>238</v>
      </c>
      <c r="J157" s="6" t="s">
        <v>251</v>
      </c>
    </row>
    <row r="158" spans="1:10" s="13" customFormat="1" ht="22" hidden="1">
      <c r="A158" s="4">
        <v>153</v>
      </c>
      <c r="B158" s="4" t="s">
        <v>6</v>
      </c>
      <c r="C158" s="4">
        <v>153</v>
      </c>
      <c r="D158" s="4" t="s">
        <v>6</v>
      </c>
      <c r="E158" s="3" t="s">
        <v>165</v>
      </c>
      <c r="F158" s="7" t="s">
        <v>197</v>
      </c>
      <c r="G158" s="7"/>
      <c r="H158" s="7"/>
      <c r="I158" s="5" t="s">
        <v>239</v>
      </c>
      <c r="J158" s="6" t="s">
        <v>251</v>
      </c>
    </row>
    <row r="159" spans="1:10" s="13" customFormat="1" ht="22" hidden="1">
      <c r="A159" s="4">
        <v>154</v>
      </c>
      <c r="B159" s="4" t="s">
        <v>6</v>
      </c>
      <c r="C159" s="4">
        <v>154</v>
      </c>
      <c r="D159" s="4" t="s">
        <v>6</v>
      </c>
      <c r="E159" s="3" t="s">
        <v>166</v>
      </c>
      <c r="F159" s="7" t="s">
        <v>192</v>
      </c>
      <c r="G159" s="7"/>
      <c r="H159" s="7"/>
      <c r="I159" s="5" t="s">
        <v>237</v>
      </c>
      <c r="J159" s="6" t="s">
        <v>249</v>
      </c>
    </row>
    <row r="160" spans="1:10" s="13" customFormat="1" ht="22" hidden="1">
      <c r="A160" s="4">
        <v>155</v>
      </c>
      <c r="B160" s="4" t="s">
        <v>6</v>
      </c>
      <c r="C160" s="4">
        <v>155</v>
      </c>
      <c r="D160" s="4" t="s">
        <v>6</v>
      </c>
      <c r="E160" s="3" t="s">
        <v>167</v>
      </c>
      <c r="F160" s="7" t="s">
        <v>201</v>
      </c>
      <c r="G160" s="7"/>
      <c r="H160" s="7"/>
      <c r="I160" s="5" t="s">
        <v>239</v>
      </c>
      <c r="J160" s="6" t="s">
        <v>251</v>
      </c>
    </row>
    <row r="161" spans="1:10" s="13" customFormat="1" ht="22" hidden="1">
      <c r="A161" s="4">
        <v>156</v>
      </c>
      <c r="B161" s="4" t="s">
        <v>6</v>
      </c>
      <c r="C161" s="4">
        <v>156</v>
      </c>
      <c r="D161" s="4" t="s">
        <v>6</v>
      </c>
      <c r="E161" s="3" t="s">
        <v>168</v>
      </c>
      <c r="F161" s="7" t="s">
        <v>192</v>
      </c>
      <c r="G161" s="7"/>
      <c r="H161" s="7"/>
      <c r="I161" s="5" t="s">
        <v>236</v>
      </c>
      <c r="J161" s="6" t="s">
        <v>251</v>
      </c>
    </row>
    <row r="162" spans="1:10" s="13" customFormat="1" ht="22" hidden="1">
      <c r="A162" s="4">
        <v>157</v>
      </c>
      <c r="B162" s="4" t="s">
        <v>6</v>
      </c>
      <c r="C162" s="4">
        <v>157</v>
      </c>
      <c r="D162" s="4" t="s">
        <v>6</v>
      </c>
      <c r="E162" s="3" t="s">
        <v>169</v>
      </c>
      <c r="F162" s="7" t="s">
        <v>197</v>
      </c>
      <c r="G162" s="7"/>
      <c r="H162" s="7"/>
      <c r="I162" s="5"/>
      <c r="J162" s="6" t="s">
        <v>251</v>
      </c>
    </row>
    <row r="163" spans="1:10" s="13" customFormat="1" ht="22" hidden="1">
      <c r="A163" s="4">
        <v>158</v>
      </c>
      <c r="B163" s="4" t="s">
        <v>6</v>
      </c>
      <c r="C163" s="4">
        <v>158</v>
      </c>
      <c r="D163" s="4" t="s">
        <v>6</v>
      </c>
      <c r="E163" s="3" t="s">
        <v>170</v>
      </c>
      <c r="F163" s="7" t="s">
        <v>197</v>
      </c>
      <c r="G163" s="7"/>
      <c r="H163" s="7"/>
      <c r="I163" s="5" t="s">
        <v>236</v>
      </c>
      <c r="J163" s="6" t="s">
        <v>251</v>
      </c>
    </row>
    <row r="164" spans="1:10" s="13" customFormat="1" ht="19.5" hidden="1" customHeight="1">
      <c r="A164" s="4">
        <v>159</v>
      </c>
      <c r="B164" s="4" t="s">
        <v>6</v>
      </c>
      <c r="C164" s="4">
        <v>159</v>
      </c>
      <c r="D164" s="4" t="s">
        <v>6</v>
      </c>
      <c r="E164" s="3" t="s">
        <v>171</v>
      </c>
      <c r="F164" s="7" t="s">
        <v>197</v>
      </c>
      <c r="G164" s="7"/>
      <c r="H164" s="7"/>
      <c r="I164" s="5"/>
      <c r="J164" s="6" t="s">
        <v>251</v>
      </c>
    </row>
    <row r="165" spans="1:10" s="13" customFormat="1" ht="22" hidden="1">
      <c r="A165" s="4">
        <v>160</v>
      </c>
      <c r="B165" s="4" t="s">
        <v>6</v>
      </c>
      <c r="C165" s="4">
        <v>160</v>
      </c>
      <c r="D165" s="4" t="s">
        <v>6</v>
      </c>
      <c r="E165" s="3" t="s">
        <v>172</v>
      </c>
      <c r="F165" s="7" t="s">
        <v>197</v>
      </c>
      <c r="G165" s="7"/>
      <c r="H165" s="7"/>
      <c r="I165" s="5" t="s">
        <v>241</v>
      </c>
      <c r="J165" s="6" t="s">
        <v>251</v>
      </c>
    </row>
    <row r="166" spans="1:10" s="13" customFormat="1" ht="22" hidden="1">
      <c r="A166" s="4">
        <v>161</v>
      </c>
      <c r="B166" s="4" t="s">
        <v>6</v>
      </c>
      <c r="C166" s="4">
        <v>161</v>
      </c>
      <c r="D166" s="4" t="s">
        <v>6</v>
      </c>
      <c r="E166" s="3" t="s">
        <v>173</v>
      </c>
      <c r="F166" s="7" t="s">
        <v>197</v>
      </c>
      <c r="G166" s="7"/>
      <c r="H166" s="7"/>
      <c r="I166" s="5" t="s">
        <v>279</v>
      </c>
      <c r="J166" s="6" t="s">
        <v>251</v>
      </c>
    </row>
    <row r="167" spans="1:10" s="13" customFormat="1" ht="22" hidden="1">
      <c r="A167" s="4">
        <v>162</v>
      </c>
      <c r="B167" s="4" t="s">
        <v>6</v>
      </c>
      <c r="C167" s="4">
        <v>162</v>
      </c>
      <c r="D167" s="4" t="s">
        <v>6</v>
      </c>
      <c r="E167" s="3" t="s">
        <v>174</v>
      </c>
      <c r="F167" s="7" t="s">
        <v>201</v>
      </c>
      <c r="G167" s="7"/>
      <c r="H167" s="7"/>
      <c r="I167" s="5" t="s">
        <v>235</v>
      </c>
      <c r="J167" s="6" t="s">
        <v>251</v>
      </c>
    </row>
    <row r="168" spans="1:10" s="13" customFormat="1" ht="22" hidden="1">
      <c r="A168" s="4">
        <v>163</v>
      </c>
      <c r="B168" s="4" t="s">
        <v>6</v>
      </c>
      <c r="C168" s="4">
        <v>163</v>
      </c>
      <c r="D168" s="4" t="s">
        <v>6</v>
      </c>
      <c r="E168" s="3" t="s">
        <v>175</v>
      </c>
      <c r="F168" s="7" t="s">
        <v>197</v>
      </c>
      <c r="G168" s="7"/>
      <c r="H168" s="7"/>
      <c r="I168" s="5" t="s">
        <v>238</v>
      </c>
      <c r="J168" s="6" t="s">
        <v>251</v>
      </c>
    </row>
    <row r="169" spans="1:10" s="13" customFormat="1" ht="22">
      <c r="A169" s="4">
        <v>164</v>
      </c>
      <c r="B169" s="4" t="s">
        <v>6</v>
      </c>
      <c r="C169" s="4">
        <v>164</v>
      </c>
      <c r="D169" s="4" t="s">
        <v>6</v>
      </c>
      <c r="E169" s="3" t="s">
        <v>176</v>
      </c>
      <c r="F169" s="7" t="s">
        <v>195</v>
      </c>
      <c r="G169" s="7"/>
      <c r="H169" s="7"/>
      <c r="I169" s="5" t="s">
        <v>234</v>
      </c>
      <c r="J169" s="6" t="s">
        <v>249</v>
      </c>
    </row>
    <row r="170" spans="1:10" s="13" customFormat="1" ht="22">
      <c r="A170" s="4">
        <v>165</v>
      </c>
      <c r="B170" s="4" t="s">
        <v>6</v>
      </c>
      <c r="C170" s="4">
        <v>165</v>
      </c>
      <c r="D170" s="4" t="s">
        <v>6</v>
      </c>
      <c r="E170" s="3" t="s">
        <v>177</v>
      </c>
      <c r="F170" s="7" t="s">
        <v>195</v>
      </c>
      <c r="G170" s="7"/>
      <c r="H170" s="7"/>
      <c r="I170" s="5" t="s">
        <v>234</v>
      </c>
      <c r="J170" s="6" t="s">
        <v>249</v>
      </c>
    </row>
    <row r="171" spans="1:10" s="13" customFormat="1" ht="19.5" customHeight="1">
      <c r="A171" s="4">
        <v>166</v>
      </c>
      <c r="B171" s="4" t="s">
        <v>6</v>
      </c>
      <c r="C171" s="4">
        <v>166</v>
      </c>
      <c r="D171" s="4" t="s">
        <v>6</v>
      </c>
      <c r="E171" s="3" t="s">
        <v>178</v>
      </c>
      <c r="F171" s="7" t="s">
        <v>195</v>
      </c>
      <c r="G171" s="7"/>
      <c r="H171" s="7"/>
      <c r="I171" s="5" t="s">
        <v>234</v>
      </c>
      <c r="J171" s="6" t="s">
        <v>249</v>
      </c>
    </row>
    <row r="172" spans="1:10" s="13" customFormat="1" ht="22">
      <c r="A172" s="4">
        <v>167</v>
      </c>
      <c r="B172" s="4" t="s">
        <v>6</v>
      </c>
      <c r="C172" s="4">
        <v>167</v>
      </c>
      <c r="D172" s="4" t="s">
        <v>6</v>
      </c>
      <c r="E172" s="3" t="s">
        <v>179</v>
      </c>
      <c r="F172" s="7" t="s">
        <v>195</v>
      </c>
      <c r="G172" s="7"/>
      <c r="H172" s="7"/>
      <c r="I172" s="5" t="s">
        <v>234</v>
      </c>
      <c r="J172" s="6" t="s">
        <v>249</v>
      </c>
    </row>
    <row r="173" spans="1:10" s="13" customFormat="1" ht="22">
      <c r="A173" s="4">
        <v>168</v>
      </c>
      <c r="B173" s="4" t="s">
        <v>6</v>
      </c>
      <c r="C173" s="4">
        <v>168</v>
      </c>
      <c r="D173" s="4" t="s">
        <v>6</v>
      </c>
      <c r="E173" s="3" t="s">
        <v>180</v>
      </c>
      <c r="F173" s="7" t="s">
        <v>195</v>
      </c>
      <c r="G173" s="7"/>
      <c r="H173" s="7"/>
      <c r="I173" s="5" t="s">
        <v>234</v>
      </c>
      <c r="J173" s="6" t="s">
        <v>249</v>
      </c>
    </row>
    <row r="174" spans="1:10" s="13" customFormat="1" ht="22">
      <c r="A174" s="4">
        <v>169</v>
      </c>
      <c r="B174" s="4" t="s">
        <v>6</v>
      </c>
      <c r="C174" s="4">
        <v>169</v>
      </c>
      <c r="D174" s="4" t="s">
        <v>6</v>
      </c>
      <c r="E174" s="3" t="s">
        <v>181</v>
      </c>
      <c r="F174" s="7" t="s">
        <v>198</v>
      </c>
      <c r="G174" s="7"/>
      <c r="H174" s="7"/>
      <c r="I174" s="5" t="s">
        <v>234</v>
      </c>
      <c r="J174" s="6" t="s">
        <v>249</v>
      </c>
    </row>
    <row r="175" spans="1:10" s="13" customFormat="1" ht="22" hidden="1">
      <c r="A175" s="4">
        <v>170</v>
      </c>
      <c r="B175" s="4" t="s">
        <v>6</v>
      </c>
      <c r="C175" s="4">
        <v>170</v>
      </c>
      <c r="D175" s="4" t="s">
        <v>6</v>
      </c>
      <c r="E175" s="3" t="s">
        <v>182</v>
      </c>
      <c r="F175" s="7" t="s">
        <v>192</v>
      </c>
      <c r="G175" s="7"/>
      <c r="H175" s="7"/>
      <c r="I175" s="5" t="s">
        <v>242</v>
      </c>
      <c r="J175" s="6" t="s">
        <v>251</v>
      </c>
    </row>
    <row r="176" spans="1:10" s="13" customFormat="1" ht="22" hidden="1">
      <c r="A176" s="4">
        <v>171</v>
      </c>
      <c r="B176" s="4" t="s">
        <v>6</v>
      </c>
      <c r="C176" s="4">
        <v>171</v>
      </c>
      <c r="D176" s="4" t="s">
        <v>6</v>
      </c>
      <c r="E176" s="3" t="s">
        <v>183</v>
      </c>
      <c r="F176" s="7" t="s">
        <v>195</v>
      </c>
      <c r="G176" s="7"/>
      <c r="H176" s="7"/>
      <c r="I176" s="5" t="s">
        <v>241</v>
      </c>
      <c r="J176" s="6" t="s">
        <v>251</v>
      </c>
    </row>
    <row r="177" spans="1:10" s="13" customFormat="1" ht="22" hidden="1">
      <c r="A177" s="4">
        <v>172</v>
      </c>
      <c r="B177" s="4" t="s">
        <v>6</v>
      </c>
      <c r="C177" s="4">
        <v>172</v>
      </c>
      <c r="D177" s="4" t="s">
        <v>6</v>
      </c>
      <c r="E177" s="3" t="s">
        <v>184</v>
      </c>
      <c r="F177" s="7" t="s">
        <v>195</v>
      </c>
      <c r="G177" s="7"/>
      <c r="H177" s="7"/>
      <c r="I177" s="5" t="s">
        <v>237</v>
      </c>
      <c r="J177" s="6" t="s">
        <v>251</v>
      </c>
    </row>
    <row r="178" spans="1:10" s="13" customFormat="1" ht="19.5" hidden="1" customHeight="1">
      <c r="A178" s="4">
        <v>173</v>
      </c>
      <c r="B178" s="4" t="s">
        <v>6</v>
      </c>
      <c r="C178" s="4">
        <v>173</v>
      </c>
      <c r="D178" s="4" t="s">
        <v>6</v>
      </c>
      <c r="E178" s="3" t="s">
        <v>185</v>
      </c>
      <c r="F178" s="7" t="s">
        <v>195</v>
      </c>
      <c r="G178" s="7"/>
      <c r="H178" s="7"/>
      <c r="I178" s="5" t="s">
        <v>238</v>
      </c>
      <c r="J178" s="6" t="s">
        <v>249</v>
      </c>
    </row>
    <row r="179" spans="1:10" s="13" customFormat="1" ht="22" hidden="1">
      <c r="A179" s="4">
        <v>174</v>
      </c>
      <c r="B179" s="4" t="s">
        <v>6</v>
      </c>
      <c r="C179" s="4">
        <v>174</v>
      </c>
      <c r="D179" s="4" t="s">
        <v>6</v>
      </c>
      <c r="E179" s="3" t="s">
        <v>186</v>
      </c>
      <c r="F179" s="7" t="s">
        <v>195</v>
      </c>
      <c r="G179" s="7"/>
      <c r="H179" s="7"/>
      <c r="I179" s="5" t="s">
        <v>236</v>
      </c>
      <c r="J179" s="6" t="s">
        <v>251</v>
      </c>
    </row>
    <row r="180" spans="1:10" s="13" customFormat="1" ht="22" hidden="1">
      <c r="A180" s="4">
        <v>175</v>
      </c>
      <c r="B180" s="4" t="s">
        <v>6</v>
      </c>
      <c r="C180" s="4">
        <v>175</v>
      </c>
      <c r="D180" s="4" t="s">
        <v>6</v>
      </c>
      <c r="E180" s="3" t="s">
        <v>187</v>
      </c>
      <c r="F180" s="7" t="s">
        <v>199</v>
      </c>
      <c r="G180" s="7"/>
      <c r="H180" s="7"/>
      <c r="I180" s="5" t="s">
        <v>235</v>
      </c>
      <c r="J180" s="6" t="s">
        <v>251</v>
      </c>
    </row>
    <row r="181" spans="1:10" s="13" customFormat="1" ht="22" hidden="1">
      <c r="A181" s="4">
        <v>176</v>
      </c>
      <c r="B181" s="4" t="s">
        <v>6</v>
      </c>
      <c r="C181" s="4">
        <v>176</v>
      </c>
      <c r="D181" s="4" t="s">
        <v>6</v>
      </c>
      <c r="E181" s="3" t="s">
        <v>188</v>
      </c>
      <c r="F181" s="7" t="s">
        <v>197</v>
      </c>
      <c r="G181" s="7"/>
      <c r="H181" s="7"/>
      <c r="I181" s="5" t="s">
        <v>237</v>
      </c>
      <c r="J181" s="6" t="s">
        <v>251</v>
      </c>
    </row>
    <row r="182" spans="1:10" s="13" customFormat="1" ht="22">
      <c r="A182" s="4">
        <v>177</v>
      </c>
      <c r="B182" s="4" t="s">
        <v>6</v>
      </c>
      <c r="C182" s="4">
        <v>177</v>
      </c>
      <c r="D182" s="4" t="s">
        <v>6</v>
      </c>
      <c r="E182" s="3" t="s">
        <v>189</v>
      </c>
      <c r="F182" s="7" t="s">
        <v>198</v>
      </c>
      <c r="G182" s="7"/>
      <c r="H182" s="7"/>
      <c r="I182" s="5" t="s">
        <v>234</v>
      </c>
      <c r="J182" s="6" t="s">
        <v>249</v>
      </c>
    </row>
    <row r="183" spans="1:10" s="13" customFormat="1" ht="22" hidden="1">
      <c r="A183" s="4">
        <v>178</v>
      </c>
      <c r="B183" s="4" t="s">
        <v>6</v>
      </c>
      <c r="C183" s="4">
        <v>178</v>
      </c>
      <c r="D183" s="4" t="s">
        <v>6</v>
      </c>
      <c r="E183" s="3" t="s">
        <v>211</v>
      </c>
      <c r="F183" s="7" t="s">
        <v>192</v>
      </c>
      <c r="G183" s="7"/>
      <c r="H183" s="7"/>
      <c r="I183" s="5"/>
      <c r="J183" s="6" t="s">
        <v>251</v>
      </c>
    </row>
    <row r="184" spans="1:10" s="13" customFormat="1" ht="22" hidden="1">
      <c r="A184" s="4">
        <v>179</v>
      </c>
      <c r="B184" s="4" t="s">
        <v>6</v>
      </c>
      <c r="C184" s="4">
        <v>179</v>
      </c>
      <c r="D184" s="4" t="s">
        <v>9</v>
      </c>
      <c r="E184" s="3" t="s">
        <v>212</v>
      </c>
      <c r="F184" s="7" t="s">
        <v>191</v>
      </c>
      <c r="G184" s="7"/>
      <c r="H184" s="7"/>
      <c r="I184" s="5"/>
      <c r="J184" s="6" t="s">
        <v>251</v>
      </c>
    </row>
    <row r="185" spans="1:10" s="13" customFormat="1" ht="19.5" hidden="1" customHeight="1">
      <c r="A185" s="4">
        <v>180</v>
      </c>
      <c r="B185" s="4" t="s">
        <v>6</v>
      </c>
      <c r="C185" s="4">
        <v>180</v>
      </c>
      <c r="D185" s="4" t="s">
        <v>9</v>
      </c>
      <c r="E185" s="3" t="s">
        <v>213</v>
      </c>
      <c r="F185" s="7" t="s">
        <v>191</v>
      </c>
      <c r="G185" s="7"/>
      <c r="H185" s="7"/>
      <c r="I185" s="5"/>
      <c r="J185" s="6" t="s">
        <v>251</v>
      </c>
    </row>
    <row r="186" spans="1:10" s="13" customFormat="1" ht="22" hidden="1">
      <c r="A186" s="4">
        <v>181</v>
      </c>
      <c r="B186" s="4" t="s">
        <v>6</v>
      </c>
      <c r="C186" s="4">
        <v>181</v>
      </c>
      <c r="D186" s="4" t="s">
        <v>9</v>
      </c>
      <c r="E186" s="3" t="s">
        <v>232</v>
      </c>
      <c r="F186" s="7" t="s">
        <v>191</v>
      </c>
      <c r="G186" s="7"/>
      <c r="H186" s="7"/>
      <c r="I186" s="5" t="s">
        <v>241</v>
      </c>
      <c r="J186" s="6" t="s">
        <v>251</v>
      </c>
    </row>
    <row r="187" spans="1:10" s="13" customFormat="1" ht="22" hidden="1">
      <c r="A187" s="4">
        <v>182</v>
      </c>
      <c r="B187" s="4" t="s">
        <v>6</v>
      </c>
      <c r="C187" s="4">
        <v>182</v>
      </c>
      <c r="D187" s="4" t="s">
        <v>6</v>
      </c>
      <c r="E187" s="3" t="s">
        <v>214</v>
      </c>
      <c r="F187" s="7" t="s">
        <v>192</v>
      </c>
      <c r="G187" s="7"/>
      <c r="H187" s="7"/>
      <c r="I187" s="5" t="s">
        <v>235</v>
      </c>
      <c r="J187" s="6" t="s">
        <v>251</v>
      </c>
    </row>
    <row r="188" spans="1:10" s="13" customFormat="1" ht="22">
      <c r="A188" s="4">
        <v>183</v>
      </c>
      <c r="B188" s="4" t="s">
        <v>6</v>
      </c>
      <c r="C188" s="4">
        <v>183</v>
      </c>
      <c r="D188" s="4" t="s">
        <v>6</v>
      </c>
      <c r="E188" s="3" t="s">
        <v>215</v>
      </c>
      <c r="F188" s="7" t="s">
        <v>195</v>
      </c>
      <c r="G188" s="7"/>
      <c r="H188" s="7"/>
      <c r="I188" s="5" t="s">
        <v>234</v>
      </c>
      <c r="J188" s="6" t="s">
        <v>249</v>
      </c>
    </row>
    <row r="189" spans="1:10" s="13" customFormat="1" ht="22">
      <c r="A189" s="4">
        <v>184</v>
      </c>
      <c r="B189" s="4" t="s">
        <v>6</v>
      </c>
      <c r="C189" s="4">
        <v>184</v>
      </c>
      <c r="D189" s="4" t="s">
        <v>6</v>
      </c>
      <c r="E189" s="3" t="s">
        <v>216</v>
      </c>
      <c r="F189" s="7" t="s">
        <v>195</v>
      </c>
      <c r="G189" s="7"/>
      <c r="H189" s="7"/>
      <c r="I189" s="5" t="s">
        <v>234</v>
      </c>
      <c r="J189" s="6" t="s">
        <v>249</v>
      </c>
    </row>
    <row r="190" spans="1:10" s="13" customFormat="1" ht="22">
      <c r="A190" s="4">
        <v>185</v>
      </c>
      <c r="B190" s="4" t="s">
        <v>6</v>
      </c>
      <c r="C190" s="4">
        <v>185</v>
      </c>
      <c r="D190" s="4" t="s">
        <v>6</v>
      </c>
      <c r="E190" s="3" t="s">
        <v>217</v>
      </c>
      <c r="F190" s="7" t="s">
        <v>194</v>
      </c>
      <c r="G190" s="7"/>
      <c r="H190" s="7"/>
      <c r="I190" s="5" t="s">
        <v>234</v>
      </c>
      <c r="J190" s="6" t="s">
        <v>249</v>
      </c>
    </row>
    <row r="191" spans="1:10" s="13" customFormat="1" ht="22" hidden="1">
      <c r="A191" s="4">
        <v>186</v>
      </c>
      <c r="B191" s="4" t="s">
        <v>6</v>
      </c>
      <c r="C191" s="4">
        <v>186</v>
      </c>
      <c r="D191" s="4" t="s">
        <v>6</v>
      </c>
      <c r="E191" s="3" t="s">
        <v>218</v>
      </c>
      <c r="F191" s="7" t="s">
        <v>192</v>
      </c>
      <c r="G191" s="7"/>
      <c r="H191" s="7"/>
      <c r="I191" s="5" t="s">
        <v>235</v>
      </c>
      <c r="J191" s="6" t="s">
        <v>251</v>
      </c>
    </row>
    <row r="192" spans="1:10" s="13" customFormat="1" ht="19.5" customHeight="1">
      <c r="A192" s="4">
        <v>187</v>
      </c>
      <c r="B192" s="4" t="s">
        <v>6</v>
      </c>
      <c r="C192" s="4">
        <v>187</v>
      </c>
      <c r="D192" s="4" t="s">
        <v>6</v>
      </c>
      <c r="E192" s="3" t="s">
        <v>219</v>
      </c>
      <c r="F192" s="7" t="s">
        <v>195</v>
      </c>
      <c r="G192" s="7"/>
      <c r="H192" s="7"/>
      <c r="I192" s="5" t="s">
        <v>234</v>
      </c>
      <c r="J192" s="6" t="s">
        <v>249</v>
      </c>
    </row>
    <row r="193" spans="1:10" s="13" customFormat="1" ht="22">
      <c r="A193" s="4">
        <v>188</v>
      </c>
      <c r="B193" s="4" t="s">
        <v>6</v>
      </c>
      <c r="C193" s="4">
        <v>188</v>
      </c>
      <c r="D193" s="4" t="s">
        <v>6</v>
      </c>
      <c r="E193" s="3" t="s">
        <v>220</v>
      </c>
      <c r="F193" s="7" t="s">
        <v>195</v>
      </c>
      <c r="G193" s="7"/>
      <c r="H193" s="7"/>
      <c r="I193" s="5" t="s">
        <v>234</v>
      </c>
      <c r="J193" s="6" t="s">
        <v>249</v>
      </c>
    </row>
    <row r="194" spans="1:10" s="13" customFormat="1" ht="22" hidden="1">
      <c r="A194" s="4">
        <v>189</v>
      </c>
      <c r="B194" s="4" t="s">
        <v>6</v>
      </c>
      <c r="C194" s="4">
        <v>189</v>
      </c>
      <c r="D194" s="4" t="s">
        <v>6</v>
      </c>
      <c r="E194" s="3" t="s">
        <v>221</v>
      </c>
      <c r="F194" s="7" t="s">
        <v>195</v>
      </c>
      <c r="G194" s="7"/>
      <c r="H194" s="7"/>
      <c r="I194" s="5" t="s">
        <v>237</v>
      </c>
      <c r="J194" s="6" t="s">
        <v>249</v>
      </c>
    </row>
    <row r="195" spans="1:10" s="13" customFormat="1" ht="22" hidden="1">
      <c r="A195" s="4">
        <v>190</v>
      </c>
      <c r="B195" s="4" t="s">
        <v>6</v>
      </c>
      <c r="C195" s="4">
        <v>190</v>
      </c>
      <c r="D195" s="4" t="s">
        <v>6</v>
      </c>
      <c r="E195" s="3" t="s">
        <v>222</v>
      </c>
      <c r="F195" s="7" t="s">
        <v>195</v>
      </c>
      <c r="G195" s="7"/>
      <c r="H195" s="7"/>
      <c r="I195" s="5" t="s">
        <v>238</v>
      </c>
      <c r="J195" s="6" t="s">
        <v>249</v>
      </c>
    </row>
    <row r="196" spans="1:10" s="13" customFormat="1" ht="22">
      <c r="A196" s="4">
        <v>191</v>
      </c>
      <c r="B196" s="4" t="s">
        <v>6</v>
      </c>
      <c r="C196" s="4">
        <v>191</v>
      </c>
      <c r="D196" s="4" t="s">
        <v>6</v>
      </c>
      <c r="E196" s="3" t="s">
        <v>223</v>
      </c>
      <c r="F196" s="7" t="s">
        <v>195</v>
      </c>
      <c r="G196" s="7"/>
      <c r="H196" s="7"/>
      <c r="I196" s="5" t="s">
        <v>234</v>
      </c>
      <c r="J196" s="6" t="s">
        <v>249</v>
      </c>
    </row>
    <row r="197" spans="1:10" s="13" customFormat="1" ht="22" hidden="1">
      <c r="A197" s="4">
        <v>192</v>
      </c>
      <c r="B197" s="4" t="s">
        <v>6</v>
      </c>
      <c r="C197" s="4">
        <v>192</v>
      </c>
      <c r="D197" s="4" t="s">
        <v>6</v>
      </c>
      <c r="E197" s="3" t="s">
        <v>224</v>
      </c>
      <c r="F197" s="7" t="s">
        <v>195</v>
      </c>
      <c r="G197" s="7"/>
      <c r="H197" s="7"/>
      <c r="I197" s="5" t="s">
        <v>242</v>
      </c>
      <c r="J197" s="6" t="s">
        <v>249</v>
      </c>
    </row>
    <row r="198" spans="1:10" s="13" customFormat="1" ht="22" hidden="1">
      <c r="A198" s="4">
        <v>193</v>
      </c>
      <c r="B198" s="4" t="s">
        <v>6</v>
      </c>
      <c r="C198" s="4">
        <v>193</v>
      </c>
      <c r="D198" s="4" t="s">
        <v>6</v>
      </c>
      <c r="E198" s="3" t="s">
        <v>225</v>
      </c>
      <c r="F198" s="7" t="s">
        <v>195</v>
      </c>
      <c r="G198" s="7"/>
      <c r="H198" s="7"/>
      <c r="I198" s="5" t="s">
        <v>237</v>
      </c>
      <c r="J198" s="6" t="s">
        <v>249</v>
      </c>
    </row>
    <row r="199" spans="1:10" s="13" customFormat="1" ht="19.5" hidden="1" customHeight="1">
      <c r="A199" s="4">
        <v>194</v>
      </c>
      <c r="B199" s="4" t="s">
        <v>6</v>
      </c>
      <c r="C199" s="4">
        <v>194</v>
      </c>
      <c r="D199" s="4" t="s">
        <v>6</v>
      </c>
      <c r="E199" s="3" t="s">
        <v>226</v>
      </c>
      <c r="F199" s="7" t="s">
        <v>195</v>
      </c>
      <c r="G199" s="7"/>
      <c r="H199" s="7"/>
      <c r="I199" s="5" t="s">
        <v>236</v>
      </c>
      <c r="J199" s="6" t="s">
        <v>249</v>
      </c>
    </row>
    <row r="200" spans="1:10" s="13" customFormat="1" ht="22" hidden="1">
      <c r="A200" s="4">
        <v>195</v>
      </c>
      <c r="B200" s="4" t="s">
        <v>6</v>
      </c>
      <c r="C200" s="4">
        <v>195</v>
      </c>
      <c r="D200" s="4" t="s">
        <v>6</v>
      </c>
      <c r="E200" s="3" t="s">
        <v>227</v>
      </c>
      <c r="F200" s="7" t="s">
        <v>195</v>
      </c>
      <c r="G200" s="7"/>
      <c r="H200" s="7"/>
      <c r="I200" s="5" t="s">
        <v>236</v>
      </c>
      <c r="J200" s="6" t="s">
        <v>249</v>
      </c>
    </row>
    <row r="201" spans="1:10" s="13" customFormat="1" ht="22">
      <c r="A201" s="4">
        <v>196</v>
      </c>
      <c r="B201" s="4" t="s">
        <v>6</v>
      </c>
      <c r="C201" s="4">
        <v>196</v>
      </c>
      <c r="D201" s="4" t="s">
        <v>6</v>
      </c>
      <c r="E201" s="3" t="s">
        <v>246</v>
      </c>
      <c r="F201" s="7" t="s">
        <v>195</v>
      </c>
      <c r="G201" s="7"/>
      <c r="H201" s="7"/>
      <c r="I201" s="5" t="s">
        <v>234</v>
      </c>
      <c r="J201" s="6" t="s">
        <v>249</v>
      </c>
    </row>
    <row r="202" spans="1:10" s="13" customFormat="1" ht="22">
      <c r="A202" s="4">
        <v>197</v>
      </c>
      <c r="B202" s="4" t="s">
        <v>6</v>
      </c>
      <c r="C202" s="4">
        <v>197</v>
      </c>
      <c r="D202" s="4" t="s">
        <v>6</v>
      </c>
      <c r="E202" s="3" t="s">
        <v>247</v>
      </c>
      <c r="F202" s="7" t="s">
        <v>195</v>
      </c>
      <c r="G202" s="7"/>
      <c r="H202" s="7"/>
      <c r="I202" s="5" t="s">
        <v>234</v>
      </c>
      <c r="J202" s="6" t="s">
        <v>249</v>
      </c>
    </row>
    <row r="203" spans="1:10" s="13" customFormat="1" ht="22">
      <c r="A203" s="4">
        <v>198</v>
      </c>
      <c r="B203" s="4" t="s">
        <v>6</v>
      </c>
      <c r="C203" s="4">
        <v>198</v>
      </c>
      <c r="D203" s="4" t="s">
        <v>6</v>
      </c>
      <c r="E203" s="3" t="s">
        <v>248</v>
      </c>
      <c r="F203" s="7" t="s">
        <v>195</v>
      </c>
      <c r="G203" s="7"/>
      <c r="H203" s="7"/>
      <c r="I203" s="5" t="s">
        <v>234</v>
      </c>
      <c r="J203" s="6" t="s">
        <v>249</v>
      </c>
    </row>
    <row r="204" spans="1:10" s="13" customFormat="1" ht="22">
      <c r="A204" s="4">
        <v>199</v>
      </c>
      <c r="B204" s="4" t="s">
        <v>6</v>
      </c>
      <c r="C204" s="4">
        <v>199</v>
      </c>
      <c r="D204" s="4" t="s">
        <v>6</v>
      </c>
      <c r="E204" s="3" t="s">
        <v>254</v>
      </c>
      <c r="F204" s="7" t="s">
        <v>195</v>
      </c>
      <c r="G204" s="7"/>
      <c r="H204" s="7"/>
      <c r="I204" s="5" t="s">
        <v>234</v>
      </c>
      <c r="J204" s="6" t="s">
        <v>249</v>
      </c>
    </row>
  </sheetData>
  <autoFilter ref="A5:O204" xr:uid="{00000000-0009-0000-0000-000000000000}">
    <filterColumn colId="8">
      <filters>
        <filter val="ولاية البحر الأحمر"/>
      </filters>
    </filterColumn>
    <filterColumn colId="9">
      <filters>
        <filter val="في العمل"/>
      </filters>
    </filterColumn>
  </autoFilter>
  <mergeCells count="3">
    <mergeCell ref="C1:H1"/>
    <mergeCell ref="C2:H2"/>
    <mergeCell ref="C3:E3"/>
  </mergeCells>
  <conditionalFormatting sqref="A6:B204 I6:J204">
    <cfRule type="expression" dxfId="73" priority="3">
      <formula>ROW()=CELL("row")</formula>
    </cfRule>
    <cfRule type="expression" dxfId="72" priority="4" stopIfTrue="1">
      <formula>ROW=CELL("row")</formula>
    </cfRule>
  </conditionalFormatting>
  <conditionalFormatting sqref="B8 I8:J8 B15 I15:J15 B22 I22:J22 B29 I29:J29 B36 I36:J36 B43 I43:J43 B50 I50:J50 B57 I57:J57 B64 I64:J64 B71 I71:J71 B78 I78:J78 B85 I85:J85 B92 I92:J92 B99 I99:J99 B106 I106:J106 B113 I113:J113 J114:J115 B120 I120:J120 B127 I127:J127 B134 I134:J134 B141 I141:J141 B148 I148:J148 B155 I155:J155 B162 I162:J162 B169 I169:J169 B176 I176:J176 B183 I183:J183 B190 I190:J190 B197 I197:J197 B204 I204:J204">
    <cfRule type="expression" dxfId="71" priority="1">
      <formula>ROW()=CELL("row")</formula>
    </cfRule>
    <cfRule type="expression" dxfId="70" priority="2" stopIfTrue="1">
      <formula>ROW=CELL("row")</formula>
    </cfRule>
  </conditionalFormatting>
  <printOptions horizontalCentered="1"/>
  <pageMargins left="0.45" right="0.45" top="0.75" bottom="0.75" header="0.3" footer="0.3"/>
  <pageSetup paperSize="9" scale="55" orientation="portrait" r:id="rId1"/>
  <colBreaks count="1" manualBreakCount="1">
    <brk id="8" max="20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6E60-4D2A-484F-BC82-DCD77E612817}">
  <sheetPr codeName="Sheet9" filterMode="1">
    <tabColor theme="5" tint="-0.249977111117893"/>
  </sheetPr>
  <dimension ref="A1:XBD129"/>
  <sheetViews>
    <sheetView rightToLeft="1" view="pageBreakPreview" zoomScale="75" zoomScaleNormal="100" zoomScaleSheetLayoutView="75" workbookViewId="0">
      <selection activeCell="AH16" sqref="AH16"/>
    </sheetView>
  </sheetViews>
  <sheetFormatPr defaultColWidth="9.08203125" defaultRowHeight="60" customHeight="1"/>
  <cols>
    <col min="1" max="1" width="9.08203125" style="61" customWidth="1"/>
    <col min="2" max="2" width="16.08203125" style="102" customWidth="1"/>
    <col min="3" max="3" width="14.6640625" style="102" customWidth="1"/>
    <col min="4" max="4" width="34.33203125" style="61" bestFit="1" customWidth="1"/>
    <col min="5" max="5" width="20.9140625" style="60" hidden="1" customWidth="1"/>
    <col min="6" max="9" width="24.08203125" style="102" hidden="1" customWidth="1"/>
    <col min="10" max="10" width="22" style="102" hidden="1" customWidth="1"/>
    <col min="11" max="11" width="9.33203125" style="62" hidden="1" customWidth="1"/>
    <col min="12" max="12" width="12.4140625" style="102" bestFit="1" customWidth="1"/>
    <col min="13" max="13" width="22" style="60" hidden="1" customWidth="1"/>
    <col min="14" max="14" width="17.9140625" style="60" hidden="1" customWidth="1"/>
    <col min="15" max="15" width="15.58203125" style="60" hidden="1" customWidth="1"/>
    <col min="16" max="16" width="23.33203125" style="60" hidden="1" customWidth="1"/>
    <col min="17" max="17" width="17.9140625" style="61" hidden="1" customWidth="1"/>
    <col min="18" max="18" width="22.9140625" style="61" hidden="1" customWidth="1"/>
    <col min="19" max="19" width="17.9140625" style="61" hidden="1" customWidth="1"/>
    <col min="20" max="20" width="17.58203125" style="60" hidden="1" customWidth="1"/>
    <col min="21" max="21" width="13.33203125" style="60" hidden="1" customWidth="1"/>
    <col min="22" max="24" width="17.9140625" style="60" hidden="1" customWidth="1"/>
    <col min="25" max="25" width="13.33203125" style="60" hidden="1" customWidth="1"/>
    <col min="26" max="26" width="15.58203125" style="60" hidden="1" customWidth="1"/>
    <col min="27" max="27" width="13.9140625" style="60" hidden="1" customWidth="1"/>
    <col min="28" max="29" width="26.9140625" style="60" hidden="1" customWidth="1"/>
    <col min="30" max="30" width="18.6640625" style="60" hidden="1" customWidth="1"/>
    <col min="31" max="31" width="13.08203125" style="64" hidden="1" customWidth="1"/>
    <col min="32" max="32" width="18.4140625" style="61" customWidth="1"/>
    <col min="33" max="16384" width="9.08203125" style="61"/>
  </cols>
  <sheetData>
    <row r="1" spans="1:32" ht="37.5" customHeight="1">
      <c r="A1" s="161"/>
      <c r="B1" s="161"/>
      <c r="C1" s="161"/>
      <c r="D1" s="161"/>
    </row>
    <row r="2" spans="1:32" s="65" customFormat="1" ht="25.5" customHeight="1">
      <c r="A2" s="124" t="s">
        <v>0</v>
      </c>
      <c r="B2" s="125" t="s">
        <v>497</v>
      </c>
      <c r="C2" s="125" t="s">
        <v>502</v>
      </c>
      <c r="D2" s="124" t="s">
        <v>256</v>
      </c>
      <c r="E2" s="124" t="s">
        <v>190</v>
      </c>
      <c r="F2" s="125" t="s">
        <v>346</v>
      </c>
      <c r="G2" s="125" t="s">
        <v>483</v>
      </c>
      <c r="H2" s="125" t="s">
        <v>484</v>
      </c>
      <c r="I2" s="125" t="s">
        <v>525</v>
      </c>
      <c r="J2" s="125" t="s">
        <v>330</v>
      </c>
      <c r="K2" s="124" t="s">
        <v>280</v>
      </c>
      <c r="L2" s="125" t="s">
        <v>357</v>
      </c>
      <c r="M2" s="124" t="s">
        <v>336</v>
      </c>
      <c r="N2" s="124" t="s">
        <v>233</v>
      </c>
      <c r="O2" s="124" t="s">
        <v>205</v>
      </c>
      <c r="P2" s="124" t="s">
        <v>258</v>
      </c>
      <c r="Q2" s="126" t="s">
        <v>507</v>
      </c>
      <c r="R2" s="126" t="s">
        <v>501</v>
      </c>
      <c r="S2" s="126" t="s">
        <v>504</v>
      </c>
      <c r="T2" s="126" t="s">
        <v>272</v>
      </c>
      <c r="U2" s="126" t="s">
        <v>271</v>
      </c>
      <c r="V2" s="126" t="s">
        <v>500</v>
      </c>
      <c r="W2" s="127" t="s">
        <v>270</v>
      </c>
      <c r="X2" s="127" t="s">
        <v>496</v>
      </c>
      <c r="Y2" s="128" t="s">
        <v>292</v>
      </c>
      <c r="Z2" s="128" t="s">
        <v>294</v>
      </c>
      <c r="AA2" s="128" t="s">
        <v>250</v>
      </c>
      <c r="AB2" s="128" t="s">
        <v>509</v>
      </c>
      <c r="AC2" s="128" t="s">
        <v>510</v>
      </c>
      <c r="AD2" s="128" t="s">
        <v>352</v>
      </c>
      <c r="AE2" s="124" t="s">
        <v>462</v>
      </c>
      <c r="AF2" s="124" t="s">
        <v>330</v>
      </c>
    </row>
    <row r="3" spans="1:32" s="67" customFormat="1" ht="20.149999999999999" customHeight="1">
      <c r="A3" s="129">
        <v>1</v>
      </c>
      <c r="B3" s="125" t="s">
        <v>3</v>
      </c>
      <c r="C3" s="125" t="s">
        <v>4</v>
      </c>
      <c r="D3" s="125" t="s">
        <v>11</v>
      </c>
      <c r="E3" s="125" t="s">
        <v>191</v>
      </c>
      <c r="F3" s="125"/>
      <c r="G3" s="125" t="s">
        <v>485</v>
      </c>
      <c r="H3" s="125"/>
      <c r="I3" s="125"/>
      <c r="J3" s="125"/>
      <c r="K3" s="124" t="s">
        <v>367</v>
      </c>
      <c r="L3" s="125" t="s">
        <v>532</v>
      </c>
      <c r="M3" s="130"/>
      <c r="N3" s="130" t="s">
        <v>241</v>
      </c>
      <c r="O3" s="130" t="s">
        <v>206</v>
      </c>
      <c r="P3" s="125" t="s">
        <v>268</v>
      </c>
      <c r="Q3" s="126">
        <v>45369</v>
      </c>
      <c r="R3" s="126">
        <f t="shared" ref="R3:R66" si="0">EDATE(Q3, 24)</f>
        <v>46099</v>
      </c>
      <c r="S3" s="126">
        <v>45643</v>
      </c>
      <c r="T3" s="124">
        <v>4</v>
      </c>
      <c r="U3" s="124">
        <f t="shared" ref="U3:U66" si="1">T3*12</f>
        <v>48</v>
      </c>
      <c r="V3" s="126">
        <f t="shared" ref="V3:V66" si="2">EDATE(S3,U3)</f>
        <v>47104</v>
      </c>
      <c r="W3" s="124">
        <f t="shared" ref="W3:W11" ca="1" si="3">V3-TODAY()</f>
        <v>956</v>
      </c>
      <c r="X3" s="124">
        <f t="shared" ref="X3:X66" ca="1" si="4">DATEDIF(Q3, TODAY(), "Y")</f>
        <v>2</v>
      </c>
      <c r="Y3" s="124" t="s">
        <v>293</v>
      </c>
      <c r="Z3" s="124" t="s">
        <v>253</v>
      </c>
      <c r="AA3" s="124" t="s">
        <v>413</v>
      </c>
      <c r="AB3" s="124"/>
      <c r="AC3" s="124"/>
      <c r="AD3" s="124"/>
      <c r="AE3" s="124" t="str">
        <f t="shared" ref="AE3:AE66" ca="1" si="5">IF(V3&lt;TODAY(),"منتهي",IF(V3-TODAY()&gt;=30,"ساري","ينتهي قريباً"))</f>
        <v>ساري</v>
      </c>
      <c r="AF3" s="131"/>
    </row>
    <row r="4" spans="1:32" s="67" customFormat="1" ht="20.149999999999999" customHeight="1">
      <c r="A4" s="129">
        <v>2</v>
      </c>
      <c r="B4" s="125" t="s">
        <v>6</v>
      </c>
      <c r="C4" s="125" t="s">
        <v>9</v>
      </c>
      <c r="D4" s="125" t="s">
        <v>520</v>
      </c>
      <c r="E4" s="125" t="s">
        <v>521</v>
      </c>
      <c r="F4" s="125"/>
      <c r="G4" s="125" t="s">
        <v>522</v>
      </c>
      <c r="H4" s="125"/>
      <c r="I4" s="125"/>
      <c r="J4" s="125"/>
      <c r="K4" s="124" t="s">
        <v>367</v>
      </c>
      <c r="L4" s="125" t="s">
        <v>523</v>
      </c>
      <c r="M4" s="130"/>
      <c r="N4" s="130" t="s">
        <v>241</v>
      </c>
      <c r="O4" s="130" t="s">
        <v>6</v>
      </c>
      <c r="P4" s="125"/>
      <c r="Q4" s="126"/>
      <c r="R4" s="126"/>
      <c r="S4" s="126"/>
      <c r="T4" s="124"/>
      <c r="U4" s="124"/>
      <c r="V4" s="126"/>
      <c r="W4" s="124"/>
      <c r="X4" s="124"/>
      <c r="Y4" s="124" t="s">
        <v>293</v>
      </c>
      <c r="Z4" s="124" t="s">
        <v>253</v>
      </c>
      <c r="AA4" s="124" t="s">
        <v>413</v>
      </c>
      <c r="AB4" s="124"/>
      <c r="AC4" s="124"/>
      <c r="AD4" s="124"/>
      <c r="AE4" s="124" t="str">
        <f t="shared" ca="1" si="5"/>
        <v>منتهي</v>
      </c>
      <c r="AF4" s="131"/>
    </row>
    <row r="5" spans="1:32" s="67" customFormat="1" ht="20.149999999999999" customHeight="1">
      <c r="A5" s="129">
        <v>3</v>
      </c>
      <c r="B5" s="125" t="s">
        <v>3</v>
      </c>
      <c r="C5" s="125" t="s">
        <v>4</v>
      </c>
      <c r="D5" s="125" t="s">
        <v>13</v>
      </c>
      <c r="E5" s="125" t="s">
        <v>195</v>
      </c>
      <c r="F5" s="125"/>
      <c r="G5" s="125" t="s">
        <v>485</v>
      </c>
      <c r="H5" s="125"/>
      <c r="I5" s="125"/>
      <c r="J5" s="125"/>
      <c r="K5" s="124" t="s">
        <v>367</v>
      </c>
      <c r="L5" s="125" t="s">
        <v>459</v>
      </c>
      <c r="M5" s="130"/>
      <c r="N5" s="130" t="s">
        <v>241</v>
      </c>
      <c r="O5" s="130" t="s">
        <v>206</v>
      </c>
      <c r="P5" s="125" t="s">
        <v>268</v>
      </c>
      <c r="Q5" s="126">
        <v>44941</v>
      </c>
      <c r="R5" s="126">
        <f t="shared" si="0"/>
        <v>45672</v>
      </c>
      <c r="S5" s="126">
        <v>45643</v>
      </c>
      <c r="T5" s="124">
        <v>4</v>
      </c>
      <c r="U5" s="124">
        <f t="shared" si="1"/>
        <v>48</v>
      </c>
      <c r="V5" s="126">
        <f t="shared" si="2"/>
        <v>47104</v>
      </c>
      <c r="W5" s="124">
        <f t="shared" ca="1" si="3"/>
        <v>956</v>
      </c>
      <c r="X5" s="124">
        <f t="shared" ca="1" si="4"/>
        <v>3</v>
      </c>
      <c r="Y5" s="124" t="s">
        <v>422</v>
      </c>
      <c r="Z5" s="124" t="s">
        <v>252</v>
      </c>
      <c r="AA5" s="124" t="s">
        <v>413</v>
      </c>
      <c r="AB5" s="124"/>
      <c r="AC5" s="124"/>
      <c r="AD5" s="124"/>
      <c r="AE5" s="124" t="str">
        <f t="shared" ca="1" si="5"/>
        <v>ساري</v>
      </c>
      <c r="AF5" s="131"/>
    </row>
    <row r="6" spans="1:32" s="67" customFormat="1" ht="20.149999999999999" customHeight="1">
      <c r="A6" s="129">
        <v>4</v>
      </c>
      <c r="B6" s="125" t="s">
        <v>3</v>
      </c>
      <c r="C6" s="125" t="s">
        <v>12</v>
      </c>
      <c r="D6" s="125" t="s">
        <v>14</v>
      </c>
      <c r="E6" s="125" t="s">
        <v>196</v>
      </c>
      <c r="F6" s="125"/>
      <c r="G6" s="125" t="s">
        <v>486</v>
      </c>
      <c r="H6" s="125"/>
      <c r="I6" s="125"/>
      <c r="J6" s="125"/>
      <c r="K6" s="124" t="s">
        <v>367</v>
      </c>
      <c r="L6" s="125" t="s">
        <v>459</v>
      </c>
      <c r="M6" s="130"/>
      <c r="N6" s="130" t="s">
        <v>241</v>
      </c>
      <c r="O6" s="130" t="s">
        <v>206</v>
      </c>
      <c r="P6" s="125" t="s">
        <v>267</v>
      </c>
      <c r="Q6" s="126">
        <v>44636</v>
      </c>
      <c r="R6" s="126">
        <f t="shared" si="0"/>
        <v>45367</v>
      </c>
      <c r="S6" s="126">
        <v>45643</v>
      </c>
      <c r="T6" s="124">
        <v>4</v>
      </c>
      <c r="U6" s="124">
        <f t="shared" si="1"/>
        <v>48</v>
      </c>
      <c r="V6" s="126">
        <f t="shared" si="2"/>
        <v>47104</v>
      </c>
      <c r="W6" s="124">
        <f t="shared" ca="1" si="3"/>
        <v>956</v>
      </c>
      <c r="X6" s="124">
        <f t="shared" ca="1" si="4"/>
        <v>4</v>
      </c>
      <c r="Y6" s="124" t="s">
        <v>296</v>
      </c>
      <c r="Z6" s="124" t="s">
        <v>252</v>
      </c>
      <c r="AA6" s="124" t="s">
        <v>413</v>
      </c>
      <c r="AB6" s="124"/>
      <c r="AC6" s="124"/>
      <c r="AD6" s="124"/>
      <c r="AE6" s="124" t="str">
        <f t="shared" ca="1" si="5"/>
        <v>ساري</v>
      </c>
      <c r="AF6" s="131"/>
    </row>
    <row r="7" spans="1:32" s="67" customFormat="1" ht="20.149999999999999" customHeight="1">
      <c r="A7" s="129">
        <v>5</v>
      </c>
      <c r="B7" s="125" t="s">
        <v>3</v>
      </c>
      <c r="C7" s="125" t="s">
        <v>12</v>
      </c>
      <c r="D7" s="125" t="s">
        <v>15</v>
      </c>
      <c r="E7" s="125" t="s">
        <v>194</v>
      </c>
      <c r="F7" s="125"/>
      <c r="G7" s="125" t="s">
        <v>486</v>
      </c>
      <c r="H7" s="125"/>
      <c r="I7" s="125"/>
      <c r="J7" s="125"/>
      <c r="K7" s="124" t="s">
        <v>367</v>
      </c>
      <c r="L7" s="125" t="s">
        <v>459</v>
      </c>
      <c r="M7" s="130"/>
      <c r="N7" s="130" t="s">
        <v>241</v>
      </c>
      <c r="O7" s="130" t="s">
        <v>206</v>
      </c>
      <c r="P7" s="125" t="s">
        <v>267</v>
      </c>
      <c r="Q7" s="126">
        <v>44857</v>
      </c>
      <c r="R7" s="126">
        <f t="shared" si="0"/>
        <v>45588</v>
      </c>
      <c r="S7" s="126">
        <v>45643</v>
      </c>
      <c r="T7" s="124">
        <v>4</v>
      </c>
      <c r="U7" s="124">
        <f t="shared" si="1"/>
        <v>48</v>
      </c>
      <c r="V7" s="126">
        <f t="shared" si="2"/>
        <v>47104</v>
      </c>
      <c r="W7" s="124">
        <f t="shared" ca="1" si="3"/>
        <v>956</v>
      </c>
      <c r="X7" s="124">
        <f t="shared" ca="1" si="4"/>
        <v>3</v>
      </c>
      <c r="Y7" s="124" t="s">
        <v>293</v>
      </c>
      <c r="Z7" s="124" t="s">
        <v>253</v>
      </c>
      <c r="AA7" s="124" t="s">
        <v>413</v>
      </c>
      <c r="AB7" s="124">
        <v>11569032362</v>
      </c>
      <c r="AC7" s="124"/>
      <c r="AD7" s="124"/>
      <c r="AE7" s="124" t="str">
        <f t="shared" ca="1" si="5"/>
        <v>ساري</v>
      </c>
      <c r="AF7" s="131"/>
    </row>
    <row r="8" spans="1:32" s="67" customFormat="1" ht="20.149999999999999" customHeight="1">
      <c r="A8" s="129">
        <v>6</v>
      </c>
      <c r="B8" s="125" t="s">
        <v>3</v>
      </c>
      <c r="C8" s="125" t="s">
        <v>12</v>
      </c>
      <c r="D8" s="125" t="s">
        <v>16</v>
      </c>
      <c r="E8" s="125" t="s">
        <v>195</v>
      </c>
      <c r="F8" s="125" t="s">
        <v>379</v>
      </c>
      <c r="G8" s="125" t="s">
        <v>486</v>
      </c>
      <c r="H8" s="125"/>
      <c r="I8" s="125"/>
      <c r="J8" s="125"/>
      <c r="K8" s="124" t="s">
        <v>367</v>
      </c>
      <c r="L8" s="125" t="s">
        <v>460</v>
      </c>
      <c r="M8" s="130" t="s">
        <v>337</v>
      </c>
      <c r="N8" s="130" t="s">
        <v>241</v>
      </c>
      <c r="O8" s="130" t="s">
        <v>206</v>
      </c>
      <c r="P8" s="125" t="s">
        <v>267</v>
      </c>
      <c r="Q8" s="126">
        <v>44853</v>
      </c>
      <c r="R8" s="126">
        <f t="shared" si="0"/>
        <v>45584</v>
      </c>
      <c r="S8" s="126">
        <v>45643</v>
      </c>
      <c r="T8" s="124">
        <v>4</v>
      </c>
      <c r="U8" s="124">
        <f t="shared" si="1"/>
        <v>48</v>
      </c>
      <c r="V8" s="126">
        <f t="shared" si="2"/>
        <v>47104</v>
      </c>
      <c r="W8" s="124">
        <f t="shared" ca="1" si="3"/>
        <v>956</v>
      </c>
      <c r="X8" s="124">
        <f t="shared" ca="1" si="4"/>
        <v>3</v>
      </c>
      <c r="Y8" s="124" t="s">
        <v>476</v>
      </c>
      <c r="Z8" s="124" t="s">
        <v>252</v>
      </c>
      <c r="AA8" s="124" t="s">
        <v>413</v>
      </c>
      <c r="AB8" s="124"/>
      <c r="AC8" s="124"/>
      <c r="AD8" s="124"/>
      <c r="AE8" s="124" t="str">
        <f t="shared" ca="1" si="5"/>
        <v>ساري</v>
      </c>
      <c r="AF8" s="131"/>
    </row>
    <row r="9" spans="1:32" s="67" customFormat="1" ht="20.149999999999999" customHeight="1">
      <c r="A9" s="129">
        <v>7</v>
      </c>
      <c r="B9" s="125" t="s">
        <v>3</v>
      </c>
      <c r="C9" s="125" t="s">
        <v>12</v>
      </c>
      <c r="D9" s="125" t="s">
        <v>18</v>
      </c>
      <c r="E9" s="125" t="s">
        <v>195</v>
      </c>
      <c r="F9" s="125" t="s">
        <v>380</v>
      </c>
      <c r="G9" s="125" t="s">
        <v>486</v>
      </c>
      <c r="H9" s="125"/>
      <c r="I9" s="125"/>
      <c r="J9" s="125"/>
      <c r="K9" s="124" t="s">
        <v>367</v>
      </c>
      <c r="L9" s="125" t="s">
        <v>460</v>
      </c>
      <c r="M9" s="130"/>
      <c r="N9" s="130" t="s">
        <v>241</v>
      </c>
      <c r="O9" s="130" t="s">
        <v>206</v>
      </c>
      <c r="P9" s="125" t="s">
        <v>268</v>
      </c>
      <c r="Q9" s="126">
        <v>44972</v>
      </c>
      <c r="R9" s="126">
        <f t="shared" si="0"/>
        <v>45703</v>
      </c>
      <c r="S9" s="126">
        <v>45643</v>
      </c>
      <c r="T9" s="124">
        <v>4</v>
      </c>
      <c r="U9" s="124">
        <f t="shared" si="1"/>
        <v>48</v>
      </c>
      <c r="V9" s="126">
        <f t="shared" si="2"/>
        <v>47104</v>
      </c>
      <c r="W9" s="124">
        <f t="shared" ca="1" si="3"/>
        <v>956</v>
      </c>
      <c r="X9" s="124">
        <f t="shared" ca="1" si="4"/>
        <v>3</v>
      </c>
      <c r="Y9" s="124" t="s">
        <v>293</v>
      </c>
      <c r="Z9" s="124" t="s">
        <v>253</v>
      </c>
      <c r="AA9" s="124" t="s">
        <v>412</v>
      </c>
      <c r="AB9" s="124"/>
      <c r="AC9" s="124"/>
      <c r="AD9" s="124"/>
      <c r="AE9" s="124" t="str">
        <f t="shared" ca="1" si="5"/>
        <v>ساري</v>
      </c>
      <c r="AF9" s="131"/>
    </row>
    <row r="10" spans="1:32" s="67" customFormat="1" ht="20.149999999999999" customHeight="1">
      <c r="A10" s="129">
        <v>8</v>
      </c>
      <c r="B10" s="125" t="s">
        <v>3</v>
      </c>
      <c r="C10" s="125" t="s">
        <v>12</v>
      </c>
      <c r="D10" s="125" t="s">
        <v>277</v>
      </c>
      <c r="E10" s="125" t="s">
        <v>195</v>
      </c>
      <c r="F10" s="125"/>
      <c r="G10" s="125" t="s">
        <v>486</v>
      </c>
      <c r="H10" s="125"/>
      <c r="I10" s="125"/>
      <c r="J10" s="125"/>
      <c r="K10" s="124" t="s">
        <v>367</v>
      </c>
      <c r="L10" s="125" t="s">
        <v>6</v>
      </c>
      <c r="M10" s="130"/>
      <c r="N10" s="130" t="s">
        <v>241</v>
      </c>
      <c r="O10" s="130" t="s">
        <v>206</v>
      </c>
      <c r="P10" s="125" t="s">
        <v>268</v>
      </c>
      <c r="Q10" s="126">
        <v>44983</v>
      </c>
      <c r="R10" s="126">
        <f t="shared" si="0"/>
        <v>45714</v>
      </c>
      <c r="S10" s="126">
        <v>45643</v>
      </c>
      <c r="T10" s="124">
        <v>4</v>
      </c>
      <c r="U10" s="124">
        <f t="shared" si="1"/>
        <v>48</v>
      </c>
      <c r="V10" s="126">
        <f t="shared" si="2"/>
        <v>47104</v>
      </c>
      <c r="W10" s="124">
        <f t="shared" ca="1" si="3"/>
        <v>956</v>
      </c>
      <c r="X10" s="124">
        <f t="shared" ca="1" si="4"/>
        <v>3</v>
      </c>
      <c r="Y10" s="124" t="s">
        <v>293</v>
      </c>
      <c r="Z10" s="124" t="s">
        <v>253</v>
      </c>
      <c r="AA10" s="124" t="s">
        <v>413</v>
      </c>
      <c r="AB10" s="124"/>
      <c r="AC10" s="124"/>
      <c r="AD10" s="124"/>
      <c r="AE10" s="124" t="str">
        <f t="shared" ca="1" si="5"/>
        <v>ساري</v>
      </c>
      <c r="AF10" s="131"/>
    </row>
    <row r="11" spans="1:32" s="67" customFormat="1" ht="20.149999999999999" customHeight="1">
      <c r="A11" s="129">
        <v>9</v>
      </c>
      <c r="B11" s="125" t="s">
        <v>3</v>
      </c>
      <c r="C11" s="125" t="s">
        <v>12</v>
      </c>
      <c r="D11" s="125" t="s">
        <v>370</v>
      </c>
      <c r="E11" s="125" t="s">
        <v>195</v>
      </c>
      <c r="F11" s="125" t="s">
        <v>380</v>
      </c>
      <c r="G11" s="125" t="s">
        <v>486</v>
      </c>
      <c r="H11" s="125"/>
      <c r="I11" s="125"/>
      <c r="J11" s="125"/>
      <c r="K11" s="124" t="s">
        <v>367</v>
      </c>
      <c r="L11" s="125" t="s">
        <v>6</v>
      </c>
      <c r="M11" s="130"/>
      <c r="N11" s="130" t="s">
        <v>241</v>
      </c>
      <c r="O11" s="130" t="s">
        <v>206</v>
      </c>
      <c r="P11" s="125" t="s">
        <v>366</v>
      </c>
      <c r="Q11" s="126">
        <v>45566</v>
      </c>
      <c r="R11" s="126">
        <f t="shared" si="0"/>
        <v>46296</v>
      </c>
      <c r="S11" s="126">
        <v>45643</v>
      </c>
      <c r="T11" s="124">
        <v>4</v>
      </c>
      <c r="U11" s="124">
        <f t="shared" si="1"/>
        <v>48</v>
      </c>
      <c r="V11" s="126">
        <f t="shared" si="2"/>
        <v>47104</v>
      </c>
      <c r="W11" s="124">
        <f t="shared" ca="1" si="3"/>
        <v>956</v>
      </c>
      <c r="X11" s="124">
        <f t="shared" ca="1" si="4"/>
        <v>1</v>
      </c>
      <c r="Y11" s="124" t="s">
        <v>422</v>
      </c>
      <c r="Z11" s="124" t="s">
        <v>252</v>
      </c>
      <c r="AA11" s="124" t="s">
        <v>413</v>
      </c>
      <c r="AB11" s="124"/>
      <c r="AC11" s="124"/>
      <c r="AD11" s="124"/>
      <c r="AE11" s="124" t="str">
        <f t="shared" ca="1" si="5"/>
        <v>ساري</v>
      </c>
      <c r="AF11" s="131"/>
    </row>
    <row r="12" spans="1:32" s="104" customFormat="1" ht="20.149999999999999" customHeight="1">
      <c r="A12" s="129">
        <v>10</v>
      </c>
      <c r="B12" s="125" t="s">
        <v>3</v>
      </c>
      <c r="C12" s="132" t="s">
        <v>20</v>
      </c>
      <c r="D12" s="132" t="s">
        <v>21</v>
      </c>
      <c r="E12" s="125" t="s">
        <v>194</v>
      </c>
      <c r="F12" s="125" t="s">
        <v>381</v>
      </c>
      <c r="G12" s="125" t="s">
        <v>487</v>
      </c>
      <c r="H12" s="125"/>
      <c r="I12" s="125"/>
      <c r="J12" s="125"/>
      <c r="K12" s="124" t="s">
        <v>367</v>
      </c>
      <c r="L12" s="125" t="s">
        <v>6</v>
      </c>
      <c r="M12" s="130"/>
      <c r="N12" s="130" t="s">
        <v>234</v>
      </c>
      <c r="O12" s="130" t="s">
        <v>209</v>
      </c>
      <c r="P12" s="125" t="s">
        <v>268</v>
      </c>
      <c r="Q12" s="126">
        <v>44853</v>
      </c>
      <c r="R12" s="126">
        <f t="shared" si="0"/>
        <v>45584</v>
      </c>
      <c r="S12" s="126">
        <v>44853</v>
      </c>
      <c r="T12" s="124">
        <v>4</v>
      </c>
      <c r="U12" s="124">
        <f t="shared" si="1"/>
        <v>48</v>
      </c>
      <c r="V12" s="126">
        <f t="shared" si="2"/>
        <v>46314</v>
      </c>
      <c r="W12" s="124"/>
      <c r="X12" s="124">
        <f t="shared" ca="1" si="4"/>
        <v>3</v>
      </c>
      <c r="Y12" s="124" t="s">
        <v>293</v>
      </c>
      <c r="Z12" s="124" t="s">
        <v>253</v>
      </c>
      <c r="AA12" s="133" t="s">
        <v>413</v>
      </c>
      <c r="AB12" s="133"/>
      <c r="AC12" s="133"/>
      <c r="AD12" s="133"/>
      <c r="AE12" s="133" t="str">
        <f t="shared" ca="1" si="5"/>
        <v>ساري</v>
      </c>
      <c r="AF12" s="131"/>
    </row>
    <row r="13" spans="1:32" s="67" customFormat="1" ht="20.149999999999999" customHeight="1">
      <c r="A13" s="129">
        <v>11</v>
      </c>
      <c r="B13" s="125" t="s">
        <v>3</v>
      </c>
      <c r="C13" s="125" t="s">
        <v>20</v>
      </c>
      <c r="D13" s="125" t="s">
        <v>22</v>
      </c>
      <c r="E13" s="125" t="s">
        <v>194</v>
      </c>
      <c r="F13" s="125" t="s">
        <v>431</v>
      </c>
      <c r="G13" s="125" t="s">
        <v>487</v>
      </c>
      <c r="H13" s="125"/>
      <c r="I13" s="125"/>
      <c r="J13" s="125"/>
      <c r="K13" s="124" t="s">
        <v>367</v>
      </c>
      <c r="L13" s="125" t="s">
        <v>460</v>
      </c>
      <c r="M13" s="130"/>
      <c r="N13" s="130" t="s">
        <v>234</v>
      </c>
      <c r="O13" s="130" t="s">
        <v>206</v>
      </c>
      <c r="P13" s="125" t="s">
        <v>268</v>
      </c>
      <c r="Q13" s="126">
        <v>44853</v>
      </c>
      <c r="R13" s="126">
        <f t="shared" si="0"/>
        <v>45584</v>
      </c>
      <c r="S13" s="126">
        <v>45643</v>
      </c>
      <c r="T13" s="124">
        <v>4</v>
      </c>
      <c r="U13" s="124">
        <f t="shared" si="1"/>
        <v>48</v>
      </c>
      <c r="V13" s="126">
        <f t="shared" si="2"/>
        <v>47104</v>
      </c>
      <c r="W13" s="124">
        <f t="shared" ref="W13:W76" ca="1" si="6">V13-TODAY()</f>
        <v>956</v>
      </c>
      <c r="X13" s="124">
        <f t="shared" ca="1" si="4"/>
        <v>3</v>
      </c>
      <c r="Y13" s="124" t="s">
        <v>476</v>
      </c>
      <c r="Z13" s="124" t="s">
        <v>252</v>
      </c>
      <c r="AA13" s="124" t="s">
        <v>412</v>
      </c>
      <c r="AB13" s="124"/>
      <c r="AC13" s="124"/>
      <c r="AD13" s="124"/>
      <c r="AE13" s="124" t="str">
        <f t="shared" ca="1" si="5"/>
        <v>ساري</v>
      </c>
      <c r="AF13" s="131"/>
    </row>
    <row r="14" spans="1:32" s="67" customFormat="1" ht="20.149999999999999" customHeight="1">
      <c r="A14" s="129">
        <v>12</v>
      </c>
      <c r="B14" s="125" t="s">
        <v>3</v>
      </c>
      <c r="C14" s="125" t="s">
        <v>20</v>
      </c>
      <c r="D14" s="125" t="s">
        <v>508</v>
      </c>
      <c r="E14" s="125" t="s">
        <v>198</v>
      </c>
      <c r="F14" s="125"/>
      <c r="G14" s="125" t="s">
        <v>487</v>
      </c>
      <c r="H14" s="125"/>
      <c r="I14" s="125"/>
      <c r="J14" s="125"/>
      <c r="K14" s="124" t="s">
        <v>367</v>
      </c>
      <c r="L14" s="125" t="s">
        <v>459</v>
      </c>
      <c r="M14" s="130"/>
      <c r="N14" s="130" t="s">
        <v>234</v>
      </c>
      <c r="O14" s="130" t="s">
        <v>206</v>
      </c>
      <c r="P14" s="125" t="s">
        <v>260</v>
      </c>
      <c r="Q14" s="126">
        <v>44853</v>
      </c>
      <c r="R14" s="126">
        <f t="shared" si="0"/>
        <v>45584</v>
      </c>
      <c r="S14" s="126">
        <v>45643</v>
      </c>
      <c r="T14" s="124">
        <v>4</v>
      </c>
      <c r="U14" s="124">
        <f t="shared" si="1"/>
        <v>48</v>
      </c>
      <c r="V14" s="126">
        <f t="shared" si="2"/>
        <v>47104</v>
      </c>
      <c r="W14" s="124">
        <f t="shared" ca="1" si="6"/>
        <v>956</v>
      </c>
      <c r="X14" s="124">
        <f t="shared" ca="1" si="4"/>
        <v>3</v>
      </c>
      <c r="Y14" s="124" t="s">
        <v>293</v>
      </c>
      <c r="Z14" s="124" t="s">
        <v>253</v>
      </c>
      <c r="AA14" s="124" t="s">
        <v>413</v>
      </c>
      <c r="AB14" s="124"/>
      <c r="AC14" s="124"/>
      <c r="AD14" s="124"/>
      <c r="AE14" s="124" t="str">
        <f t="shared" ca="1" si="5"/>
        <v>ساري</v>
      </c>
      <c r="AF14" s="131"/>
    </row>
    <row r="15" spans="1:32" s="67" customFormat="1" ht="20.149999999999999" customHeight="1">
      <c r="A15" s="129">
        <v>13</v>
      </c>
      <c r="B15" s="125" t="s">
        <v>3</v>
      </c>
      <c r="C15" s="125" t="s">
        <v>20</v>
      </c>
      <c r="D15" s="125" t="s">
        <v>24</v>
      </c>
      <c r="E15" s="125" t="s">
        <v>195</v>
      </c>
      <c r="F15" s="125" t="s">
        <v>379</v>
      </c>
      <c r="G15" s="125" t="s">
        <v>487</v>
      </c>
      <c r="H15" s="125"/>
      <c r="I15" s="125"/>
      <c r="J15" s="125"/>
      <c r="K15" s="124" t="s">
        <v>367</v>
      </c>
      <c r="L15" s="125" t="s">
        <v>6</v>
      </c>
      <c r="M15" s="130" t="s">
        <v>344</v>
      </c>
      <c r="N15" s="130" t="s">
        <v>238</v>
      </c>
      <c r="O15" s="130" t="s">
        <v>206</v>
      </c>
      <c r="P15" s="125" t="s">
        <v>267</v>
      </c>
      <c r="Q15" s="126">
        <v>44346</v>
      </c>
      <c r="R15" s="126">
        <f t="shared" si="0"/>
        <v>45076</v>
      </c>
      <c r="S15" s="126">
        <v>45643</v>
      </c>
      <c r="T15" s="124">
        <v>4</v>
      </c>
      <c r="U15" s="124">
        <f t="shared" si="1"/>
        <v>48</v>
      </c>
      <c r="V15" s="126">
        <f t="shared" si="2"/>
        <v>47104</v>
      </c>
      <c r="W15" s="124">
        <f t="shared" ca="1" si="6"/>
        <v>956</v>
      </c>
      <c r="X15" s="124">
        <f t="shared" ca="1" si="4"/>
        <v>4</v>
      </c>
      <c r="Y15" s="124" t="s">
        <v>293</v>
      </c>
      <c r="Z15" s="124" t="s">
        <v>253</v>
      </c>
      <c r="AA15" s="124" t="s">
        <v>412</v>
      </c>
      <c r="AB15" s="124"/>
      <c r="AC15" s="124"/>
      <c r="AD15" s="124"/>
      <c r="AE15" s="124" t="str">
        <f t="shared" ca="1" si="5"/>
        <v>ساري</v>
      </c>
      <c r="AF15" s="131"/>
    </row>
    <row r="16" spans="1:32" s="67" customFormat="1" ht="20.149999999999999" customHeight="1">
      <c r="A16" s="129">
        <v>14</v>
      </c>
      <c r="B16" s="125" t="s">
        <v>3</v>
      </c>
      <c r="C16" s="125" t="s">
        <v>20</v>
      </c>
      <c r="D16" s="125" t="s">
        <v>419</v>
      </c>
      <c r="E16" s="125" t="s">
        <v>195</v>
      </c>
      <c r="F16" s="125"/>
      <c r="G16" s="125" t="s">
        <v>487</v>
      </c>
      <c r="H16" s="125"/>
      <c r="I16" s="125"/>
      <c r="J16" s="125"/>
      <c r="K16" s="124" t="s">
        <v>367</v>
      </c>
      <c r="L16" s="125" t="s">
        <v>6</v>
      </c>
      <c r="M16" s="130"/>
      <c r="N16" s="130" t="s">
        <v>241</v>
      </c>
      <c r="O16" s="130" t="s">
        <v>206</v>
      </c>
      <c r="P16" s="125" t="s">
        <v>268</v>
      </c>
      <c r="Q16" s="126">
        <v>44853</v>
      </c>
      <c r="R16" s="126">
        <f t="shared" si="0"/>
        <v>45584</v>
      </c>
      <c r="S16" s="126">
        <v>45643</v>
      </c>
      <c r="T16" s="124">
        <v>4</v>
      </c>
      <c r="U16" s="124">
        <f t="shared" si="1"/>
        <v>48</v>
      </c>
      <c r="V16" s="126">
        <f t="shared" si="2"/>
        <v>47104</v>
      </c>
      <c r="W16" s="124">
        <f t="shared" ca="1" si="6"/>
        <v>956</v>
      </c>
      <c r="X16" s="124">
        <f t="shared" ca="1" si="4"/>
        <v>3</v>
      </c>
      <c r="Y16" s="124" t="s">
        <v>422</v>
      </c>
      <c r="Z16" s="124" t="s">
        <v>252</v>
      </c>
      <c r="AA16" s="124" t="s">
        <v>413</v>
      </c>
      <c r="AB16" s="124">
        <v>11456507103</v>
      </c>
      <c r="AC16" s="124"/>
      <c r="AD16" s="124"/>
      <c r="AE16" s="124" t="str">
        <f t="shared" ca="1" si="5"/>
        <v>ساري</v>
      </c>
      <c r="AF16" s="131"/>
    </row>
    <row r="17" spans="1:32" s="67" customFormat="1" ht="20.149999999999999" customHeight="1">
      <c r="A17" s="129">
        <v>15</v>
      </c>
      <c r="B17" s="125" t="s">
        <v>3</v>
      </c>
      <c r="C17" s="125" t="s">
        <v>20</v>
      </c>
      <c r="D17" s="125" t="s">
        <v>26</v>
      </c>
      <c r="E17" s="125" t="s">
        <v>195</v>
      </c>
      <c r="F17" s="125" t="s">
        <v>379</v>
      </c>
      <c r="G17" s="125" t="s">
        <v>487</v>
      </c>
      <c r="H17" s="125"/>
      <c r="I17" s="125"/>
      <c r="J17" s="125"/>
      <c r="K17" s="124" t="s">
        <v>367</v>
      </c>
      <c r="L17" s="125" t="s">
        <v>6</v>
      </c>
      <c r="M17" s="130" t="s">
        <v>344</v>
      </c>
      <c r="N17" s="130" t="s">
        <v>239</v>
      </c>
      <c r="O17" s="130" t="s">
        <v>206</v>
      </c>
      <c r="P17" s="125" t="s">
        <v>268</v>
      </c>
      <c r="Q17" s="126">
        <v>44903</v>
      </c>
      <c r="R17" s="126">
        <f t="shared" si="0"/>
        <v>45634</v>
      </c>
      <c r="S17" s="126">
        <v>45643</v>
      </c>
      <c r="T17" s="124">
        <v>4</v>
      </c>
      <c r="U17" s="124">
        <f t="shared" si="1"/>
        <v>48</v>
      </c>
      <c r="V17" s="126">
        <f t="shared" si="2"/>
        <v>47104</v>
      </c>
      <c r="W17" s="124">
        <f t="shared" ca="1" si="6"/>
        <v>956</v>
      </c>
      <c r="X17" s="124">
        <f t="shared" ca="1" si="4"/>
        <v>3</v>
      </c>
      <c r="Y17" s="124" t="s">
        <v>293</v>
      </c>
      <c r="Z17" s="124" t="s">
        <v>253</v>
      </c>
      <c r="AA17" s="124" t="s">
        <v>412</v>
      </c>
      <c r="AB17" s="124">
        <v>10100003103</v>
      </c>
      <c r="AC17" s="124"/>
      <c r="AD17" s="124"/>
      <c r="AE17" s="124" t="str">
        <f t="shared" ca="1" si="5"/>
        <v>ساري</v>
      </c>
      <c r="AF17" s="131"/>
    </row>
    <row r="18" spans="1:32" s="67" customFormat="1" ht="20.149999999999999" customHeight="1">
      <c r="A18" s="129">
        <v>16</v>
      </c>
      <c r="B18" s="125" t="s">
        <v>3</v>
      </c>
      <c r="C18" s="125" t="s">
        <v>20</v>
      </c>
      <c r="D18" s="125" t="s">
        <v>27</v>
      </c>
      <c r="E18" s="125" t="s">
        <v>195</v>
      </c>
      <c r="F18" s="125" t="s">
        <v>382</v>
      </c>
      <c r="G18" s="125" t="s">
        <v>487</v>
      </c>
      <c r="H18" s="125"/>
      <c r="I18" s="125"/>
      <c r="J18" s="125"/>
      <c r="K18" s="124" t="s">
        <v>367</v>
      </c>
      <c r="L18" s="125" t="s">
        <v>460</v>
      </c>
      <c r="M18" s="130"/>
      <c r="N18" s="130" t="s">
        <v>241</v>
      </c>
      <c r="O18" s="130" t="s">
        <v>206</v>
      </c>
      <c r="P18" s="125" t="s">
        <v>267</v>
      </c>
      <c r="Q18" s="126">
        <v>44853</v>
      </c>
      <c r="R18" s="126">
        <f t="shared" si="0"/>
        <v>45584</v>
      </c>
      <c r="S18" s="126">
        <v>45643</v>
      </c>
      <c r="T18" s="124">
        <v>4</v>
      </c>
      <c r="U18" s="124">
        <f t="shared" si="1"/>
        <v>48</v>
      </c>
      <c r="V18" s="126">
        <f t="shared" si="2"/>
        <v>47104</v>
      </c>
      <c r="W18" s="124">
        <f t="shared" ca="1" si="6"/>
        <v>956</v>
      </c>
      <c r="X18" s="124">
        <f t="shared" ca="1" si="4"/>
        <v>3</v>
      </c>
      <c r="Y18" s="124" t="s">
        <v>476</v>
      </c>
      <c r="Z18" s="124" t="s">
        <v>252</v>
      </c>
      <c r="AA18" s="124" t="s">
        <v>412</v>
      </c>
      <c r="AB18" s="124"/>
      <c r="AC18" s="124"/>
      <c r="AD18" s="124"/>
      <c r="AE18" s="124" t="str">
        <f t="shared" ca="1" si="5"/>
        <v>ساري</v>
      </c>
      <c r="AF18" s="131"/>
    </row>
    <row r="19" spans="1:32" s="67" customFormat="1" ht="20.149999999999999" customHeight="1">
      <c r="A19" s="129">
        <v>17</v>
      </c>
      <c r="B19" s="125" t="s">
        <v>3</v>
      </c>
      <c r="C19" s="125" t="s">
        <v>20</v>
      </c>
      <c r="D19" s="125" t="s">
        <v>29</v>
      </c>
      <c r="E19" s="125" t="s">
        <v>200</v>
      </c>
      <c r="F19" s="125"/>
      <c r="G19" s="125" t="s">
        <v>487</v>
      </c>
      <c r="H19" s="125"/>
      <c r="I19" s="125"/>
      <c r="J19" s="125"/>
      <c r="K19" s="124" t="s">
        <v>367</v>
      </c>
      <c r="L19" s="125" t="s">
        <v>459</v>
      </c>
      <c r="M19" s="130"/>
      <c r="N19" s="130" t="s">
        <v>241</v>
      </c>
      <c r="O19" s="130" t="s">
        <v>206</v>
      </c>
      <c r="P19" s="125" t="s">
        <v>262</v>
      </c>
      <c r="Q19" s="126">
        <v>44881</v>
      </c>
      <c r="R19" s="126">
        <f t="shared" si="0"/>
        <v>45612</v>
      </c>
      <c r="S19" s="126">
        <v>45643</v>
      </c>
      <c r="T19" s="124">
        <v>4</v>
      </c>
      <c r="U19" s="124">
        <f t="shared" si="1"/>
        <v>48</v>
      </c>
      <c r="V19" s="126">
        <f t="shared" si="2"/>
        <v>47104</v>
      </c>
      <c r="W19" s="124">
        <f t="shared" ca="1" si="6"/>
        <v>956</v>
      </c>
      <c r="X19" s="124">
        <f t="shared" ca="1" si="4"/>
        <v>3</v>
      </c>
      <c r="Y19" s="124" t="s">
        <v>422</v>
      </c>
      <c r="Z19" s="124" t="s">
        <v>252</v>
      </c>
      <c r="AA19" s="124" t="s">
        <v>413</v>
      </c>
      <c r="AB19" s="124"/>
      <c r="AC19" s="124"/>
      <c r="AD19" s="124"/>
      <c r="AE19" s="124" t="str">
        <f t="shared" ca="1" si="5"/>
        <v>ساري</v>
      </c>
      <c r="AF19" s="131"/>
    </row>
    <row r="20" spans="1:32" s="67" customFormat="1" ht="20.149999999999999" customHeight="1">
      <c r="A20" s="129">
        <v>18</v>
      </c>
      <c r="B20" s="125" t="s">
        <v>3</v>
      </c>
      <c r="C20" s="125" t="s">
        <v>20</v>
      </c>
      <c r="D20" s="125" t="s">
        <v>30</v>
      </c>
      <c r="E20" s="125" t="s">
        <v>194</v>
      </c>
      <c r="F20" s="125" t="s">
        <v>383</v>
      </c>
      <c r="G20" s="125" t="s">
        <v>487</v>
      </c>
      <c r="H20" s="125"/>
      <c r="I20" s="125"/>
      <c r="J20" s="125"/>
      <c r="K20" s="124" t="s">
        <v>367</v>
      </c>
      <c r="L20" s="125" t="s">
        <v>460</v>
      </c>
      <c r="M20" s="130"/>
      <c r="N20" s="130" t="s">
        <v>234</v>
      </c>
      <c r="O20" s="130" t="s">
        <v>206</v>
      </c>
      <c r="P20" s="125" t="s">
        <v>267</v>
      </c>
      <c r="Q20" s="126">
        <v>44405</v>
      </c>
      <c r="R20" s="126">
        <f t="shared" si="0"/>
        <v>45135</v>
      </c>
      <c r="S20" s="126">
        <v>45643</v>
      </c>
      <c r="T20" s="124">
        <v>4</v>
      </c>
      <c r="U20" s="124">
        <f t="shared" si="1"/>
        <v>48</v>
      </c>
      <c r="V20" s="126">
        <f t="shared" si="2"/>
        <v>47104</v>
      </c>
      <c r="W20" s="124">
        <f t="shared" ca="1" si="6"/>
        <v>956</v>
      </c>
      <c r="X20" s="124">
        <f t="shared" ca="1" si="4"/>
        <v>4</v>
      </c>
      <c r="Y20" s="124" t="s">
        <v>422</v>
      </c>
      <c r="Z20" s="124" t="s">
        <v>252</v>
      </c>
      <c r="AA20" s="124" t="s">
        <v>413</v>
      </c>
      <c r="AB20" s="124"/>
      <c r="AC20" s="124"/>
      <c r="AD20" s="124"/>
      <c r="AE20" s="124" t="str">
        <f t="shared" ca="1" si="5"/>
        <v>ساري</v>
      </c>
      <c r="AF20" s="131"/>
    </row>
    <row r="21" spans="1:32" s="67" customFormat="1" ht="20.149999999999999" customHeight="1">
      <c r="A21" s="129">
        <v>19</v>
      </c>
      <c r="B21" s="125" t="s">
        <v>3</v>
      </c>
      <c r="C21" s="125" t="s">
        <v>20</v>
      </c>
      <c r="D21" s="125" t="s">
        <v>32</v>
      </c>
      <c r="E21" s="125" t="s">
        <v>197</v>
      </c>
      <c r="F21" s="125"/>
      <c r="G21" s="125" t="s">
        <v>487</v>
      </c>
      <c r="H21" s="125"/>
      <c r="I21" s="125"/>
      <c r="J21" s="125"/>
      <c r="K21" s="124" t="s">
        <v>367</v>
      </c>
      <c r="L21" s="125" t="s">
        <v>459</v>
      </c>
      <c r="M21" s="130"/>
      <c r="N21" s="130" t="s">
        <v>241</v>
      </c>
      <c r="O21" s="130" t="s">
        <v>206</v>
      </c>
      <c r="P21" s="125" t="s">
        <v>267</v>
      </c>
      <c r="Q21" s="126">
        <v>44630</v>
      </c>
      <c r="R21" s="126">
        <f t="shared" si="0"/>
        <v>45361</v>
      </c>
      <c r="S21" s="126">
        <v>45643</v>
      </c>
      <c r="T21" s="124">
        <v>4</v>
      </c>
      <c r="U21" s="124">
        <f t="shared" si="1"/>
        <v>48</v>
      </c>
      <c r="V21" s="126">
        <f t="shared" si="2"/>
        <v>47104</v>
      </c>
      <c r="W21" s="124">
        <f t="shared" ca="1" si="6"/>
        <v>956</v>
      </c>
      <c r="X21" s="124">
        <f t="shared" ca="1" si="4"/>
        <v>4</v>
      </c>
      <c r="Y21" s="124" t="s">
        <v>296</v>
      </c>
      <c r="Z21" s="124" t="s">
        <v>252</v>
      </c>
      <c r="AA21" s="124" t="s">
        <v>413</v>
      </c>
      <c r="AB21" s="124">
        <v>11648354855</v>
      </c>
      <c r="AC21" s="124"/>
      <c r="AD21" s="124"/>
      <c r="AE21" s="124" t="str">
        <f t="shared" ca="1" si="5"/>
        <v>ساري</v>
      </c>
      <c r="AF21" s="131"/>
    </row>
    <row r="22" spans="1:32" s="67" customFormat="1" ht="20.149999999999999" customHeight="1">
      <c r="A22" s="129">
        <v>20</v>
      </c>
      <c r="B22" s="125" t="s">
        <v>3</v>
      </c>
      <c r="C22" s="125" t="s">
        <v>20</v>
      </c>
      <c r="D22" s="125" t="s">
        <v>34</v>
      </c>
      <c r="E22" s="125" t="s">
        <v>195</v>
      </c>
      <c r="F22" s="125"/>
      <c r="G22" s="125" t="s">
        <v>487</v>
      </c>
      <c r="H22" s="125"/>
      <c r="I22" s="125"/>
      <c r="J22" s="125"/>
      <c r="K22" s="124" t="s">
        <v>367</v>
      </c>
      <c r="L22" s="125" t="s">
        <v>6</v>
      </c>
      <c r="M22" s="130"/>
      <c r="N22" s="130" t="s">
        <v>241</v>
      </c>
      <c r="O22" s="130" t="s">
        <v>206</v>
      </c>
      <c r="P22" s="125" t="s">
        <v>268</v>
      </c>
      <c r="Q22" s="126">
        <v>43684</v>
      </c>
      <c r="R22" s="126">
        <f t="shared" si="0"/>
        <v>44415</v>
      </c>
      <c r="S22" s="126">
        <v>45643</v>
      </c>
      <c r="T22" s="124">
        <v>4</v>
      </c>
      <c r="U22" s="124">
        <f t="shared" si="1"/>
        <v>48</v>
      </c>
      <c r="V22" s="126">
        <f t="shared" si="2"/>
        <v>47104</v>
      </c>
      <c r="W22" s="124">
        <f t="shared" ca="1" si="6"/>
        <v>956</v>
      </c>
      <c r="X22" s="124">
        <f t="shared" ca="1" si="4"/>
        <v>6</v>
      </c>
      <c r="Y22" s="124" t="s">
        <v>293</v>
      </c>
      <c r="Z22" s="124" t="s">
        <v>253</v>
      </c>
      <c r="AA22" s="124" t="s">
        <v>412</v>
      </c>
      <c r="AB22" s="124">
        <v>10100140847</v>
      </c>
      <c r="AC22" s="124"/>
      <c r="AD22" s="124"/>
      <c r="AE22" s="124" t="str">
        <f t="shared" ca="1" si="5"/>
        <v>ساري</v>
      </c>
      <c r="AF22" s="131"/>
    </row>
    <row r="23" spans="1:32" s="67" customFormat="1" ht="20.149999999999999" customHeight="1">
      <c r="A23" s="129">
        <v>21</v>
      </c>
      <c r="B23" s="125" t="s">
        <v>3</v>
      </c>
      <c r="C23" s="125" t="s">
        <v>20</v>
      </c>
      <c r="D23" s="125" t="s">
        <v>420</v>
      </c>
      <c r="E23" s="125" t="s">
        <v>195</v>
      </c>
      <c r="F23" s="125"/>
      <c r="G23" s="125" t="s">
        <v>488</v>
      </c>
      <c r="H23" s="125"/>
      <c r="I23" s="125"/>
      <c r="J23" s="125"/>
      <c r="K23" s="124" t="s">
        <v>367</v>
      </c>
      <c r="L23" s="125" t="s">
        <v>6</v>
      </c>
      <c r="M23" s="130"/>
      <c r="N23" s="130" t="s">
        <v>234</v>
      </c>
      <c r="O23" s="130" t="s">
        <v>206</v>
      </c>
      <c r="P23" s="125" t="s">
        <v>268</v>
      </c>
      <c r="Q23" s="126">
        <v>44853</v>
      </c>
      <c r="R23" s="126">
        <f t="shared" si="0"/>
        <v>45584</v>
      </c>
      <c r="S23" s="126">
        <v>45643</v>
      </c>
      <c r="T23" s="124">
        <v>4</v>
      </c>
      <c r="U23" s="124">
        <f t="shared" si="1"/>
        <v>48</v>
      </c>
      <c r="V23" s="126">
        <f t="shared" si="2"/>
        <v>47104</v>
      </c>
      <c r="W23" s="124">
        <f t="shared" ca="1" si="6"/>
        <v>956</v>
      </c>
      <c r="X23" s="124">
        <f t="shared" ca="1" si="4"/>
        <v>3</v>
      </c>
      <c r="Y23" s="124" t="s">
        <v>296</v>
      </c>
      <c r="Z23" s="124" t="s">
        <v>252</v>
      </c>
      <c r="AA23" s="124" t="s">
        <v>413</v>
      </c>
      <c r="AB23" s="124">
        <v>12018913032</v>
      </c>
      <c r="AC23" s="124"/>
      <c r="AD23" s="124"/>
      <c r="AE23" s="124" t="str">
        <f t="shared" ca="1" si="5"/>
        <v>ساري</v>
      </c>
      <c r="AF23" s="131"/>
    </row>
    <row r="24" spans="1:32" s="67" customFormat="1" ht="20.149999999999999" customHeight="1">
      <c r="A24" s="129">
        <v>22</v>
      </c>
      <c r="B24" s="125" t="s">
        <v>3</v>
      </c>
      <c r="C24" s="125" t="s">
        <v>35</v>
      </c>
      <c r="D24" s="125" t="s">
        <v>36</v>
      </c>
      <c r="E24" s="125" t="s">
        <v>201</v>
      </c>
      <c r="F24" s="125"/>
      <c r="G24" s="125" t="s">
        <v>488</v>
      </c>
      <c r="H24" s="125"/>
      <c r="I24" s="125"/>
      <c r="J24" s="125"/>
      <c r="K24" s="124" t="s">
        <v>367</v>
      </c>
      <c r="L24" s="125" t="s">
        <v>459</v>
      </c>
      <c r="M24" s="130"/>
      <c r="N24" s="130" t="s">
        <v>241</v>
      </c>
      <c r="O24" s="130" t="s">
        <v>206</v>
      </c>
      <c r="P24" s="125" t="s">
        <v>269</v>
      </c>
      <c r="Q24" s="126">
        <v>44956</v>
      </c>
      <c r="R24" s="126">
        <f t="shared" si="0"/>
        <v>45687</v>
      </c>
      <c r="S24" s="126">
        <v>45643</v>
      </c>
      <c r="T24" s="124">
        <v>4</v>
      </c>
      <c r="U24" s="124">
        <f t="shared" si="1"/>
        <v>48</v>
      </c>
      <c r="V24" s="126">
        <f t="shared" si="2"/>
        <v>47104</v>
      </c>
      <c r="W24" s="124">
        <f t="shared" ca="1" si="6"/>
        <v>956</v>
      </c>
      <c r="X24" s="124">
        <f t="shared" ca="1" si="4"/>
        <v>3</v>
      </c>
      <c r="Y24" s="124" t="s">
        <v>296</v>
      </c>
      <c r="Z24" s="124" t="s">
        <v>252</v>
      </c>
      <c r="AA24" s="124" t="s">
        <v>413</v>
      </c>
      <c r="AB24" s="124">
        <v>12030547459</v>
      </c>
      <c r="AC24" s="124"/>
      <c r="AD24" s="124"/>
      <c r="AE24" s="124" t="str">
        <f t="shared" ca="1" si="5"/>
        <v>ساري</v>
      </c>
      <c r="AF24" s="131"/>
    </row>
    <row r="25" spans="1:32" s="67" customFormat="1" ht="20.149999999999999" customHeight="1">
      <c r="A25" s="129">
        <v>23</v>
      </c>
      <c r="B25" s="125" t="s">
        <v>3</v>
      </c>
      <c r="C25" s="125" t="s">
        <v>35</v>
      </c>
      <c r="D25" s="125" t="s">
        <v>39</v>
      </c>
      <c r="E25" s="125" t="s">
        <v>195</v>
      </c>
      <c r="F25" s="125" t="s">
        <v>379</v>
      </c>
      <c r="G25" s="125" t="s">
        <v>488</v>
      </c>
      <c r="H25" s="125"/>
      <c r="I25" s="125"/>
      <c r="J25" s="125"/>
      <c r="K25" s="124" t="s">
        <v>367</v>
      </c>
      <c r="L25" s="125" t="s">
        <v>6</v>
      </c>
      <c r="M25" s="130" t="s">
        <v>338</v>
      </c>
      <c r="N25" s="130" t="s">
        <v>234</v>
      </c>
      <c r="O25" s="130" t="s">
        <v>206</v>
      </c>
      <c r="P25" s="125" t="s">
        <v>268</v>
      </c>
      <c r="Q25" s="126">
        <v>44983</v>
      </c>
      <c r="R25" s="126">
        <f t="shared" si="0"/>
        <v>45714</v>
      </c>
      <c r="S25" s="126">
        <v>45643</v>
      </c>
      <c r="T25" s="124">
        <v>4</v>
      </c>
      <c r="U25" s="124">
        <f t="shared" si="1"/>
        <v>48</v>
      </c>
      <c r="V25" s="126">
        <f t="shared" si="2"/>
        <v>47104</v>
      </c>
      <c r="W25" s="124">
        <f t="shared" ca="1" si="6"/>
        <v>956</v>
      </c>
      <c r="X25" s="124">
        <f t="shared" ca="1" si="4"/>
        <v>3</v>
      </c>
      <c r="Y25" s="124" t="s">
        <v>422</v>
      </c>
      <c r="Z25" s="124" t="s">
        <v>252</v>
      </c>
      <c r="AA25" s="124" t="s">
        <v>413</v>
      </c>
      <c r="AB25" s="124">
        <v>17723137772</v>
      </c>
      <c r="AC25" s="124"/>
      <c r="AD25" s="124"/>
      <c r="AE25" s="124" t="str">
        <f t="shared" ca="1" si="5"/>
        <v>ساري</v>
      </c>
      <c r="AF25" s="131"/>
    </row>
    <row r="26" spans="1:32" s="67" customFormat="1" ht="19.5" customHeight="1">
      <c r="A26" s="129">
        <v>24</v>
      </c>
      <c r="B26" s="125" t="s">
        <v>3</v>
      </c>
      <c r="C26" s="125" t="s">
        <v>35</v>
      </c>
      <c r="D26" s="125" t="s">
        <v>37</v>
      </c>
      <c r="E26" s="125" t="s">
        <v>198</v>
      </c>
      <c r="F26" s="125" t="s">
        <v>388</v>
      </c>
      <c r="G26" s="125" t="s">
        <v>488</v>
      </c>
      <c r="H26" s="125"/>
      <c r="I26" s="125"/>
      <c r="J26" s="125"/>
      <c r="K26" s="124" t="s">
        <v>368</v>
      </c>
      <c r="L26" s="125" t="s">
        <v>460</v>
      </c>
      <c r="M26" s="130"/>
      <c r="N26" s="130" t="s">
        <v>234</v>
      </c>
      <c r="O26" s="130" t="s">
        <v>206</v>
      </c>
      <c r="P26" s="125" t="s">
        <v>260</v>
      </c>
      <c r="Q26" s="126">
        <v>44906</v>
      </c>
      <c r="R26" s="126">
        <f t="shared" si="0"/>
        <v>45637</v>
      </c>
      <c r="S26" s="126">
        <v>45643</v>
      </c>
      <c r="T26" s="124">
        <v>4</v>
      </c>
      <c r="U26" s="124">
        <f t="shared" si="1"/>
        <v>48</v>
      </c>
      <c r="V26" s="126">
        <f t="shared" si="2"/>
        <v>47104</v>
      </c>
      <c r="W26" s="124">
        <f t="shared" ca="1" si="6"/>
        <v>956</v>
      </c>
      <c r="X26" s="124">
        <f t="shared" ca="1" si="4"/>
        <v>3</v>
      </c>
      <c r="Y26" s="124" t="s">
        <v>293</v>
      </c>
      <c r="Z26" s="124" t="s">
        <v>253</v>
      </c>
      <c r="AA26" s="124" t="s">
        <v>413</v>
      </c>
      <c r="AB26" s="124"/>
      <c r="AC26" s="124"/>
      <c r="AD26" s="124"/>
      <c r="AE26" s="124" t="str">
        <f t="shared" ca="1" si="5"/>
        <v>ساري</v>
      </c>
      <c r="AF26" s="131"/>
    </row>
    <row r="27" spans="1:32" s="67" customFormat="1" ht="20.149999999999999" customHeight="1">
      <c r="A27" s="129">
        <v>25</v>
      </c>
      <c r="B27" s="125" t="s">
        <v>3</v>
      </c>
      <c r="C27" s="125" t="s">
        <v>35</v>
      </c>
      <c r="D27" s="125" t="s">
        <v>515</v>
      </c>
      <c r="E27" s="125" t="s">
        <v>195</v>
      </c>
      <c r="F27" s="125"/>
      <c r="G27" s="125" t="s">
        <v>488</v>
      </c>
      <c r="H27" s="125"/>
      <c r="I27" s="125"/>
      <c r="J27" s="125"/>
      <c r="K27" s="124" t="s">
        <v>368</v>
      </c>
      <c r="L27" s="125" t="s">
        <v>6</v>
      </c>
      <c r="M27" s="130"/>
      <c r="N27" s="130" t="s">
        <v>234</v>
      </c>
      <c r="O27" s="130" t="s">
        <v>209</v>
      </c>
      <c r="P27" s="125" t="s">
        <v>516</v>
      </c>
      <c r="Q27" s="126">
        <v>46021</v>
      </c>
      <c r="R27" s="126">
        <f t="shared" si="0"/>
        <v>46751</v>
      </c>
      <c r="S27" s="126">
        <v>46021</v>
      </c>
      <c r="T27" s="124">
        <v>4</v>
      </c>
      <c r="U27" s="124">
        <f t="shared" si="1"/>
        <v>48</v>
      </c>
      <c r="V27" s="126">
        <f t="shared" si="2"/>
        <v>47482</v>
      </c>
      <c r="W27" s="124">
        <f t="shared" ca="1" si="6"/>
        <v>1334</v>
      </c>
      <c r="X27" s="124">
        <f t="shared" ca="1" si="4"/>
        <v>0</v>
      </c>
      <c r="Y27" s="124" t="s">
        <v>293</v>
      </c>
      <c r="Z27" s="124" t="s">
        <v>253</v>
      </c>
      <c r="AA27" s="124" t="s">
        <v>413</v>
      </c>
      <c r="AB27" s="124"/>
      <c r="AC27" s="124"/>
      <c r="AD27" s="124"/>
      <c r="AE27" s="124" t="str">
        <f t="shared" ca="1" si="5"/>
        <v>ساري</v>
      </c>
      <c r="AF27" s="131"/>
    </row>
    <row r="28" spans="1:32" s="67" customFormat="1" ht="20.149999999999999" customHeight="1">
      <c r="A28" s="129">
        <v>26</v>
      </c>
      <c r="B28" s="125" t="s">
        <v>3</v>
      </c>
      <c r="C28" s="125" t="s">
        <v>35</v>
      </c>
      <c r="D28" s="125" t="s">
        <v>41</v>
      </c>
      <c r="E28" s="125" t="s">
        <v>195</v>
      </c>
      <c r="F28" s="125" t="s">
        <v>379</v>
      </c>
      <c r="G28" s="125" t="s">
        <v>488</v>
      </c>
      <c r="H28" s="125"/>
      <c r="I28" s="125"/>
      <c r="J28" s="125"/>
      <c r="K28" s="124" t="s">
        <v>367</v>
      </c>
      <c r="L28" s="125" t="s">
        <v>6</v>
      </c>
      <c r="M28" s="130" t="s">
        <v>338</v>
      </c>
      <c r="N28" s="130" t="s">
        <v>234</v>
      </c>
      <c r="O28" s="130" t="s">
        <v>206</v>
      </c>
      <c r="P28" s="125" t="s">
        <v>267</v>
      </c>
      <c r="Q28" s="126">
        <v>44853</v>
      </c>
      <c r="R28" s="126">
        <f t="shared" si="0"/>
        <v>45584</v>
      </c>
      <c r="S28" s="126">
        <v>45643</v>
      </c>
      <c r="T28" s="124">
        <v>4</v>
      </c>
      <c r="U28" s="124">
        <f t="shared" si="1"/>
        <v>48</v>
      </c>
      <c r="V28" s="126">
        <f t="shared" si="2"/>
        <v>47104</v>
      </c>
      <c r="W28" s="124">
        <f t="shared" ca="1" si="6"/>
        <v>956</v>
      </c>
      <c r="X28" s="124">
        <f t="shared" ca="1" si="4"/>
        <v>3</v>
      </c>
      <c r="Y28" s="124" t="s">
        <v>296</v>
      </c>
      <c r="Z28" s="124" t="s">
        <v>252</v>
      </c>
      <c r="AA28" s="124" t="s">
        <v>413</v>
      </c>
      <c r="AB28" s="124">
        <v>11247184589</v>
      </c>
      <c r="AC28" s="124"/>
      <c r="AD28" s="124"/>
      <c r="AE28" s="124" t="str">
        <f t="shared" ca="1" si="5"/>
        <v>ساري</v>
      </c>
      <c r="AF28" s="131"/>
    </row>
    <row r="29" spans="1:32" s="67" customFormat="1" ht="20.149999999999999" customHeight="1">
      <c r="A29" s="129">
        <v>27</v>
      </c>
      <c r="B29" s="125" t="s">
        <v>3</v>
      </c>
      <c r="C29" s="125" t="s">
        <v>35</v>
      </c>
      <c r="D29" s="125" t="s">
        <v>47</v>
      </c>
      <c r="E29" s="125" t="s">
        <v>197</v>
      </c>
      <c r="F29" s="125" t="s">
        <v>390</v>
      </c>
      <c r="G29" s="125" t="s">
        <v>489</v>
      </c>
      <c r="H29" s="125"/>
      <c r="I29" s="125"/>
      <c r="J29" s="125"/>
      <c r="K29" s="124" t="s">
        <v>367</v>
      </c>
      <c r="L29" s="125" t="s">
        <v>460</v>
      </c>
      <c r="M29" s="130"/>
      <c r="N29" s="130" t="s">
        <v>241</v>
      </c>
      <c r="O29" s="130" t="s">
        <v>206</v>
      </c>
      <c r="P29" s="125" t="s">
        <v>416</v>
      </c>
      <c r="Q29" s="126">
        <v>44903</v>
      </c>
      <c r="R29" s="126">
        <f t="shared" si="0"/>
        <v>45634</v>
      </c>
      <c r="S29" s="126">
        <v>45643</v>
      </c>
      <c r="T29" s="124">
        <v>4</v>
      </c>
      <c r="U29" s="124">
        <f t="shared" si="1"/>
        <v>48</v>
      </c>
      <c r="V29" s="126">
        <f t="shared" si="2"/>
        <v>47104</v>
      </c>
      <c r="W29" s="124">
        <f t="shared" ca="1" si="6"/>
        <v>956</v>
      </c>
      <c r="X29" s="124">
        <f t="shared" ca="1" si="4"/>
        <v>3</v>
      </c>
      <c r="Y29" s="124" t="s">
        <v>293</v>
      </c>
      <c r="Z29" s="124" t="s">
        <v>253</v>
      </c>
      <c r="AA29" s="124" t="s">
        <v>413</v>
      </c>
      <c r="AB29" s="124">
        <v>11980013851</v>
      </c>
      <c r="AC29" s="124"/>
      <c r="AD29" s="124"/>
      <c r="AE29" s="124" t="str">
        <f t="shared" ca="1" si="5"/>
        <v>ساري</v>
      </c>
      <c r="AF29" s="131"/>
    </row>
    <row r="30" spans="1:32" s="67" customFormat="1" ht="20.149999999999999" customHeight="1">
      <c r="A30" s="129">
        <v>28</v>
      </c>
      <c r="B30" s="125" t="s">
        <v>3</v>
      </c>
      <c r="C30" s="125" t="s">
        <v>46</v>
      </c>
      <c r="D30" s="125" t="s">
        <v>48</v>
      </c>
      <c r="E30" s="125" t="s">
        <v>195</v>
      </c>
      <c r="F30" s="125" t="s">
        <v>379</v>
      </c>
      <c r="G30" s="125" t="s">
        <v>489</v>
      </c>
      <c r="H30" s="125"/>
      <c r="I30" s="125"/>
      <c r="J30" s="125"/>
      <c r="K30" s="124" t="s">
        <v>367</v>
      </c>
      <c r="L30" s="125" t="s">
        <v>6</v>
      </c>
      <c r="M30" s="130" t="s">
        <v>340</v>
      </c>
      <c r="N30" s="130" t="s">
        <v>234</v>
      </c>
      <c r="O30" s="130" t="s">
        <v>206</v>
      </c>
      <c r="P30" s="125" t="s">
        <v>268</v>
      </c>
      <c r="Q30" s="126">
        <v>44565</v>
      </c>
      <c r="R30" s="126">
        <f t="shared" si="0"/>
        <v>45295</v>
      </c>
      <c r="S30" s="126">
        <v>45643</v>
      </c>
      <c r="T30" s="124">
        <v>4</v>
      </c>
      <c r="U30" s="124">
        <f t="shared" si="1"/>
        <v>48</v>
      </c>
      <c r="V30" s="126">
        <f t="shared" si="2"/>
        <v>47104</v>
      </c>
      <c r="W30" s="124">
        <f t="shared" ca="1" si="6"/>
        <v>956</v>
      </c>
      <c r="X30" s="124">
        <f t="shared" ca="1" si="4"/>
        <v>4</v>
      </c>
      <c r="Y30" s="124" t="s">
        <v>422</v>
      </c>
      <c r="Z30" s="124" t="s">
        <v>252</v>
      </c>
      <c r="AA30" s="124" t="s">
        <v>413</v>
      </c>
      <c r="AB30" s="124">
        <v>11874900599</v>
      </c>
      <c r="AC30" s="124"/>
      <c r="AD30" s="124"/>
      <c r="AE30" s="124" t="str">
        <f t="shared" ca="1" si="5"/>
        <v>ساري</v>
      </c>
      <c r="AF30" s="131"/>
    </row>
    <row r="31" spans="1:32" s="67" customFormat="1" ht="20.149999999999999" customHeight="1">
      <c r="A31" s="129">
        <v>29</v>
      </c>
      <c r="B31" s="125" t="s">
        <v>3</v>
      </c>
      <c r="C31" s="125" t="s">
        <v>46</v>
      </c>
      <c r="D31" s="125" t="s">
        <v>373</v>
      </c>
      <c r="E31" s="125" t="s">
        <v>195</v>
      </c>
      <c r="F31" s="125" t="s">
        <v>385</v>
      </c>
      <c r="G31" s="125" t="s">
        <v>489</v>
      </c>
      <c r="H31" s="125"/>
      <c r="I31" s="125"/>
      <c r="J31" s="125"/>
      <c r="K31" s="124" t="s">
        <v>367</v>
      </c>
      <c r="L31" s="125" t="s">
        <v>6</v>
      </c>
      <c r="M31" s="130" t="s">
        <v>339</v>
      </c>
      <c r="N31" s="130" t="s">
        <v>241</v>
      </c>
      <c r="O31" s="130" t="s">
        <v>206</v>
      </c>
      <c r="P31" s="125" t="s">
        <v>268</v>
      </c>
      <c r="Q31" s="126" t="s">
        <v>327</v>
      </c>
      <c r="R31" s="126">
        <f t="shared" si="0"/>
        <v>45919</v>
      </c>
      <c r="S31" s="126">
        <v>45643</v>
      </c>
      <c r="T31" s="124">
        <v>4</v>
      </c>
      <c r="U31" s="124">
        <f t="shared" si="1"/>
        <v>48</v>
      </c>
      <c r="V31" s="126">
        <f t="shared" si="2"/>
        <v>47104</v>
      </c>
      <c r="W31" s="124">
        <f t="shared" ca="1" si="6"/>
        <v>956</v>
      </c>
      <c r="X31" s="124">
        <f t="shared" ca="1" si="4"/>
        <v>2</v>
      </c>
      <c r="Y31" s="124" t="s">
        <v>422</v>
      </c>
      <c r="Z31" s="124" t="s">
        <v>252</v>
      </c>
      <c r="AA31" s="124" t="s">
        <v>413</v>
      </c>
      <c r="AB31" s="124">
        <v>11903118551</v>
      </c>
      <c r="AC31" s="124"/>
      <c r="AD31" s="124"/>
      <c r="AE31" s="124" t="str">
        <f t="shared" ca="1" si="5"/>
        <v>ساري</v>
      </c>
      <c r="AF31" s="131"/>
    </row>
    <row r="32" spans="1:32" s="67" customFormat="1" ht="20.149999999999999" customHeight="1">
      <c r="A32" s="129">
        <v>30</v>
      </c>
      <c r="B32" s="125" t="s">
        <v>3</v>
      </c>
      <c r="C32" s="125" t="s">
        <v>46</v>
      </c>
      <c r="D32" s="125" t="s">
        <v>410</v>
      </c>
      <c r="E32" s="125" t="s">
        <v>195</v>
      </c>
      <c r="F32" s="125" t="s">
        <v>385</v>
      </c>
      <c r="G32" s="125" t="s">
        <v>489</v>
      </c>
      <c r="H32" s="125"/>
      <c r="I32" s="125"/>
      <c r="J32" s="125"/>
      <c r="K32" s="124" t="s">
        <v>367</v>
      </c>
      <c r="L32" s="125" t="s">
        <v>6</v>
      </c>
      <c r="M32" s="130" t="s">
        <v>376</v>
      </c>
      <c r="N32" s="130" t="s">
        <v>429</v>
      </c>
      <c r="O32" s="130" t="s">
        <v>206</v>
      </c>
      <c r="P32" s="125" t="s">
        <v>268</v>
      </c>
      <c r="Q32" s="126">
        <v>45643</v>
      </c>
      <c r="R32" s="126">
        <f t="shared" si="0"/>
        <v>46373</v>
      </c>
      <c r="S32" s="126">
        <v>45643</v>
      </c>
      <c r="T32" s="124">
        <v>4</v>
      </c>
      <c r="U32" s="124">
        <f t="shared" si="1"/>
        <v>48</v>
      </c>
      <c r="V32" s="126">
        <f t="shared" si="2"/>
        <v>47104</v>
      </c>
      <c r="W32" s="124">
        <f t="shared" ca="1" si="6"/>
        <v>956</v>
      </c>
      <c r="X32" s="124">
        <f t="shared" ca="1" si="4"/>
        <v>1</v>
      </c>
      <c r="Y32" s="124" t="s">
        <v>293</v>
      </c>
      <c r="Z32" s="124" t="s">
        <v>253</v>
      </c>
      <c r="AA32" s="124" t="s">
        <v>429</v>
      </c>
      <c r="AB32" s="124"/>
      <c r="AC32" s="124"/>
      <c r="AD32" s="124"/>
      <c r="AE32" s="124" t="str">
        <f t="shared" ca="1" si="5"/>
        <v>ساري</v>
      </c>
      <c r="AF32" s="131"/>
    </row>
    <row r="33" spans="1:32" s="67" customFormat="1" ht="20.149999999999999" customHeight="1">
      <c r="A33" s="129">
        <v>31</v>
      </c>
      <c r="B33" s="125" t="s">
        <v>3</v>
      </c>
      <c r="C33" s="125" t="s">
        <v>46</v>
      </c>
      <c r="D33" s="125" t="s">
        <v>398</v>
      </c>
      <c r="E33" s="125" t="s">
        <v>195</v>
      </c>
      <c r="F33" s="125" t="s">
        <v>385</v>
      </c>
      <c r="G33" s="125" t="s">
        <v>489</v>
      </c>
      <c r="H33" s="125"/>
      <c r="I33" s="125"/>
      <c r="J33" s="125"/>
      <c r="K33" s="124" t="s">
        <v>368</v>
      </c>
      <c r="L33" s="125" t="s">
        <v>6</v>
      </c>
      <c r="M33" s="130" t="s">
        <v>344</v>
      </c>
      <c r="N33" s="130" t="s">
        <v>237</v>
      </c>
      <c r="O33" s="130" t="s">
        <v>206</v>
      </c>
      <c r="P33" s="125" t="s">
        <v>268</v>
      </c>
      <c r="Q33" s="126">
        <v>45643</v>
      </c>
      <c r="R33" s="126">
        <f t="shared" si="0"/>
        <v>46373</v>
      </c>
      <c r="S33" s="126">
        <v>45643</v>
      </c>
      <c r="T33" s="124">
        <v>4</v>
      </c>
      <c r="U33" s="124">
        <f t="shared" si="1"/>
        <v>48</v>
      </c>
      <c r="V33" s="126">
        <f t="shared" si="2"/>
        <v>47104</v>
      </c>
      <c r="W33" s="124">
        <f t="shared" ca="1" si="6"/>
        <v>956</v>
      </c>
      <c r="X33" s="124">
        <f t="shared" ca="1" si="4"/>
        <v>1</v>
      </c>
      <c r="Y33" s="124" t="s">
        <v>293</v>
      </c>
      <c r="Z33" s="124" t="s">
        <v>253</v>
      </c>
      <c r="AA33" s="124" t="s">
        <v>412</v>
      </c>
      <c r="AB33" s="124">
        <v>17865544492</v>
      </c>
      <c r="AC33" s="124"/>
      <c r="AD33" s="124"/>
      <c r="AE33" s="124" t="str">
        <f t="shared" ca="1" si="5"/>
        <v>ساري</v>
      </c>
      <c r="AF33" s="131"/>
    </row>
    <row r="34" spans="1:32" s="67" customFormat="1" ht="20.149999999999999" customHeight="1">
      <c r="A34" s="129">
        <v>32</v>
      </c>
      <c r="B34" s="125" t="s">
        <v>3</v>
      </c>
      <c r="C34" s="125" t="s">
        <v>46</v>
      </c>
      <c r="D34" s="125" t="s">
        <v>399</v>
      </c>
      <c r="E34" s="125" t="s">
        <v>201</v>
      </c>
      <c r="F34" s="125"/>
      <c r="G34" s="125" t="s">
        <v>490</v>
      </c>
      <c r="H34" s="125"/>
      <c r="I34" s="125"/>
      <c r="J34" s="125"/>
      <c r="K34" s="124" t="s">
        <v>367</v>
      </c>
      <c r="L34" s="125" t="s">
        <v>460</v>
      </c>
      <c r="M34" s="130"/>
      <c r="N34" s="130" t="s">
        <v>241</v>
      </c>
      <c r="O34" s="130" t="s">
        <v>206</v>
      </c>
      <c r="P34" s="125" t="s">
        <v>260</v>
      </c>
      <c r="Q34" s="126">
        <v>45643</v>
      </c>
      <c r="R34" s="126">
        <f t="shared" si="0"/>
        <v>46373</v>
      </c>
      <c r="S34" s="126">
        <v>45643</v>
      </c>
      <c r="T34" s="124">
        <v>4</v>
      </c>
      <c r="U34" s="124">
        <f t="shared" si="1"/>
        <v>48</v>
      </c>
      <c r="V34" s="126">
        <f t="shared" si="2"/>
        <v>47104</v>
      </c>
      <c r="W34" s="124">
        <f t="shared" ca="1" si="6"/>
        <v>956</v>
      </c>
      <c r="X34" s="124">
        <f t="shared" ca="1" si="4"/>
        <v>1</v>
      </c>
      <c r="Y34" s="124" t="s">
        <v>422</v>
      </c>
      <c r="Z34" s="124" t="s">
        <v>252</v>
      </c>
      <c r="AA34" s="124" t="s">
        <v>413</v>
      </c>
      <c r="AB34" s="124"/>
      <c r="AC34" s="124"/>
      <c r="AD34" s="124"/>
      <c r="AE34" s="124" t="str">
        <f t="shared" ca="1" si="5"/>
        <v>ساري</v>
      </c>
      <c r="AF34" s="131"/>
    </row>
    <row r="35" spans="1:32" s="67" customFormat="1" ht="20.149999999999999" customHeight="1">
      <c r="A35" s="129">
        <v>33</v>
      </c>
      <c r="B35" s="125" t="s">
        <v>50</v>
      </c>
      <c r="C35" s="125" t="s">
        <v>51</v>
      </c>
      <c r="D35" s="125" t="s">
        <v>53</v>
      </c>
      <c r="E35" s="125" t="s">
        <v>196</v>
      </c>
      <c r="F35" s="125"/>
      <c r="G35" s="125" t="s">
        <v>491</v>
      </c>
      <c r="H35" s="125"/>
      <c r="I35" s="125"/>
      <c r="J35" s="125"/>
      <c r="K35" s="124" t="s">
        <v>367</v>
      </c>
      <c r="L35" s="125" t="s">
        <v>6</v>
      </c>
      <c r="M35" s="130"/>
      <c r="N35" s="130" t="s">
        <v>234</v>
      </c>
      <c r="O35" s="130" t="s">
        <v>206</v>
      </c>
      <c r="P35" s="125" t="s">
        <v>259</v>
      </c>
      <c r="Q35" s="126">
        <v>44101</v>
      </c>
      <c r="R35" s="126">
        <f t="shared" si="0"/>
        <v>44831</v>
      </c>
      <c r="S35" s="126">
        <v>45643</v>
      </c>
      <c r="T35" s="124">
        <v>4</v>
      </c>
      <c r="U35" s="124">
        <f t="shared" si="1"/>
        <v>48</v>
      </c>
      <c r="V35" s="126">
        <f t="shared" si="2"/>
        <v>47104</v>
      </c>
      <c r="W35" s="124">
        <f t="shared" ca="1" si="6"/>
        <v>956</v>
      </c>
      <c r="X35" s="124">
        <f t="shared" ca="1" si="4"/>
        <v>5</v>
      </c>
      <c r="Y35" s="124" t="s">
        <v>296</v>
      </c>
      <c r="Z35" s="124" t="s">
        <v>252</v>
      </c>
      <c r="AA35" s="124" t="s">
        <v>413</v>
      </c>
      <c r="AB35" s="124"/>
      <c r="AC35" s="124"/>
      <c r="AD35" s="124"/>
      <c r="AE35" s="124" t="str">
        <f t="shared" ca="1" si="5"/>
        <v>ساري</v>
      </c>
      <c r="AF35" s="131"/>
    </row>
    <row r="36" spans="1:32" s="67" customFormat="1" ht="20.149999999999999" customHeight="1">
      <c r="A36" s="129">
        <v>34</v>
      </c>
      <c r="B36" s="125" t="s">
        <v>50</v>
      </c>
      <c r="C36" s="125" t="s">
        <v>51</v>
      </c>
      <c r="D36" s="125" t="s">
        <v>453</v>
      </c>
      <c r="E36" s="125" t="s">
        <v>197</v>
      </c>
      <c r="F36" s="125" t="s">
        <v>386</v>
      </c>
      <c r="G36" s="125" t="s">
        <v>491</v>
      </c>
      <c r="H36" s="125"/>
      <c r="I36" s="125"/>
      <c r="J36" s="125"/>
      <c r="K36" s="124" t="s">
        <v>367</v>
      </c>
      <c r="L36" s="125" t="s">
        <v>461</v>
      </c>
      <c r="M36" s="130"/>
      <c r="N36" s="130" t="s">
        <v>241</v>
      </c>
      <c r="O36" s="130" t="s">
        <v>206</v>
      </c>
      <c r="P36" s="125" t="s">
        <v>260</v>
      </c>
      <c r="Q36" s="126">
        <v>44948</v>
      </c>
      <c r="R36" s="126">
        <f t="shared" si="0"/>
        <v>45679</v>
      </c>
      <c r="S36" s="126">
        <v>45643</v>
      </c>
      <c r="T36" s="124">
        <v>4</v>
      </c>
      <c r="U36" s="124">
        <f t="shared" si="1"/>
        <v>48</v>
      </c>
      <c r="V36" s="126">
        <f t="shared" si="2"/>
        <v>47104</v>
      </c>
      <c r="W36" s="124">
        <f t="shared" ca="1" si="6"/>
        <v>956</v>
      </c>
      <c r="X36" s="124">
        <f t="shared" ca="1" si="4"/>
        <v>3</v>
      </c>
      <c r="Y36" s="124" t="s">
        <v>293</v>
      </c>
      <c r="Z36" s="124" t="s">
        <v>253</v>
      </c>
      <c r="AA36" s="124" t="s">
        <v>412</v>
      </c>
      <c r="AB36" s="124">
        <v>10200024326</v>
      </c>
      <c r="AC36" s="124"/>
      <c r="AD36" s="124"/>
      <c r="AE36" s="124" t="str">
        <f t="shared" ca="1" si="5"/>
        <v>ساري</v>
      </c>
      <c r="AF36" s="131"/>
    </row>
    <row r="37" spans="1:32" s="67" customFormat="1" ht="20.149999999999999" customHeight="1">
      <c r="A37" s="129">
        <v>35</v>
      </c>
      <c r="B37" s="125" t="s">
        <v>50</v>
      </c>
      <c r="C37" s="125" t="s">
        <v>51</v>
      </c>
      <c r="D37" s="125" t="s">
        <v>57</v>
      </c>
      <c r="E37" s="125" t="s">
        <v>198</v>
      </c>
      <c r="F37" s="125" t="s">
        <v>387</v>
      </c>
      <c r="G37" s="125" t="s">
        <v>491</v>
      </c>
      <c r="H37" s="125"/>
      <c r="I37" s="125"/>
      <c r="J37" s="125"/>
      <c r="K37" s="124" t="s">
        <v>367</v>
      </c>
      <c r="L37" s="125" t="s">
        <v>460</v>
      </c>
      <c r="M37" s="130"/>
      <c r="N37" s="130" t="s">
        <v>234</v>
      </c>
      <c r="O37" s="130" t="s">
        <v>206</v>
      </c>
      <c r="P37" s="125" t="s">
        <v>260</v>
      </c>
      <c r="Q37" s="126">
        <v>44948</v>
      </c>
      <c r="R37" s="126">
        <f t="shared" si="0"/>
        <v>45679</v>
      </c>
      <c r="S37" s="126">
        <v>45643</v>
      </c>
      <c r="T37" s="124">
        <v>4</v>
      </c>
      <c r="U37" s="124">
        <f t="shared" si="1"/>
        <v>48</v>
      </c>
      <c r="V37" s="126">
        <f t="shared" si="2"/>
        <v>47104</v>
      </c>
      <c r="W37" s="124">
        <f t="shared" ca="1" si="6"/>
        <v>956</v>
      </c>
      <c r="X37" s="124">
        <f t="shared" ca="1" si="4"/>
        <v>3</v>
      </c>
      <c r="Y37" s="124" t="s">
        <v>293</v>
      </c>
      <c r="Z37" s="124" t="s">
        <v>253</v>
      </c>
      <c r="AA37" s="124" t="s">
        <v>413</v>
      </c>
      <c r="AB37" s="124">
        <v>11584602152</v>
      </c>
      <c r="AC37" s="124"/>
      <c r="AD37" s="124"/>
      <c r="AE37" s="124" t="str">
        <f t="shared" ca="1" si="5"/>
        <v>ساري</v>
      </c>
      <c r="AF37" s="131"/>
    </row>
    <row r="38" spans="1:32" s="67" customFormat="1" ht="20.149999999999999" customHeight="1">
      <c r="A38" s="129">
        <v>36</v>
      </c>
      <c r="B38" s="125" t="s">
        <v>50</v>
      </c>
      <c r="C38" s="125" t="s">
        <v>51</v>
      </c>
      <c r="D38" s="125" t="s">
        <v>291</v>
      </c>
      <c r="E38" s="125" t="s">
        <v>198</v>
      </c>
      <c r="F38" s="125" t="s">
        <v>388</v>
      </c>
      <c r="G38" s="125" t="s">
        <v>491</v>
      </c>
      <c r="H38" s="125"/>
      <c r="I38" s="125"/>
      <c r="J38" s="125"/>
      <c r="K38" s="124" t="s">
        <v>367</v>
      </c>
      <c r="L38" s="125" t="s">
        <v>6</v>
      </c>
      <c r="M38" s="130"/>
      <c r="N38" s="130" t="s">
        <v>241</v>
      </c>
      <c r="O38" s="130" t="s">
        <v>206</v>
      </c>
      <c r="P38" s="125" t="s">
        <v>260</v>
      </c>
      <c r="Q38" s="126">
        <v>44908</v>
      </c>
      <c r="R38" s="126">
        <f t="shared" si="0"/>
        <v>45639</v>
      </c>
      <c r="S38" s="126">
        <v>45643</v>
      </c>
      <c r="T38" s="124">
        <v>4</v>
      </c>
      <c r="U38" s="124">
        <f t="shared" si="1"/>
        <v>48</v>
      </c>
      <c r="V38" s="126">
        <f t="shared" si="2"/>
        <v>47104</v>
      </c>
      <c r="W38" s="124">
        <f t="shared" ca="1" si="6"/>
        <v>956</v>
      </c>
      <c r="X38" s="124">
        <f t="shared" ca="1" si="4"/>
        <v>3</v>
      </c>
      <c r="Y38" s="124" t="s">
        <v>296</v>
      </c>
      <c r="Z38" s="124" t="s">
        <v>252</v>
      </c>
      <c r="AA38" s="124" t="s">
        <v>413</v>
      </c>
      <c r="AB38" s="124">
        <v>19734181809</v>
      </c>
      <c r="AC38" s="124"/>
      <c r="AD38" s="124"/>
      <c r="AE38" s="124" t="str">
        <f t="shared" ca="1" si="5"/>
        <v>ساري</v>
      </c>
      <c r="AF38" s="131"/>
    </row>
    <row r="39" spans="1:32" s="67" customFormat="1" ht="20.149999999999999" customHeight="1">
      <c r="A39" s="129">
        <v>37</v>
      </c>
      <c r="B39" s="125" t="s">
        <v>50</v>
      </c>
      <c r="C39" s="125" t="s">
        <v>51</v>
      </c>
      <c r="D39" s="125" t="s">
        <v>63</v>
      </c>
      <c r="E39" s="125" t="s">
        <v>526</v>
      </c>
      <c r="F39" s="125" t="s">
        <v>391</v>
      </c>
      <c r="G39" s="125" t="s">
        <v>491</v>
      </c>
      <c r="H39" s="125"/>
      <c r="I39" s="125"/>
      <c r="J39" s="125"/>
      <c r="K39" s="124" t="s">
        <v>367</v>
      </c>
      <c r="L39" s="125" t="s">
        <v>6</v>
      </c>
      <c r="M39" s="130"/>
      <c r="N39" s="130" t="s">
        <v>234</v>
      </c>
      <c r="O39" s="130" t="s">
        <v>206</v>
      </c>
      <c r="P39" s="125" t="s">
        <v>260</v>
      </c>
      <c r="Q39" s="126">
        <v>44930</v>
      </c>
      <c r="R39" s="126">
        <f t="shared" si="0"/>
        <v>45661</v>
      </c>
      <c r="S39" s="126">
        <v>45643</v>
      </c>
      <c r="T39" s="124">
        <v>4</v>
      </c>
      <c r="U39" s="124">
        <f t="shared" si="1"/>
        <v>48</v>
      </c>
      <c r="V39" s="126">
        <f t="shared" si="2"/>
        <v>47104</v>
      </c>
      <c r="W39" s="124">
        <f t="shared" ca="1" si="6"/>
        <v>956</v>
      </c>
      <c r="X39" s="124">
        <f t="shared" ca="1" si="4"/>
        <v>3</v>
      </c>
      <c r="Y39" s="124" t="s">
        <v>293</v>
      </c>
      <c r="Z39" s="124" t="s">
        <v>253</v>
      </c>
      <c r="AA39" s="124" t="s">
        <v>413</v>
      </c>
      <c r="AB39" s="124"/>
      <c r="AC39" s="124"/>
      <c r="AD39" s="124"/>
      <c r="AE39" s="124" t="str">
        <f t="shared" ca="1" si="5"/>
        <v>ساري</v>
      </c>
      <c r="AF39" s="131"/>
    </row>
    <row r="40" spans="1:32" s="67" customFormat="1" ht="20.149999999999999" customHeight="1">
      <c r="A40" s="129">
        <v>38</v>
      </c>
      <c r="B40" s="125" t="s">
        <v>50</v>
      </c>
      <c r="C40" s="125" t="s">
        <v>51</v>
      </c>
      <c r="D40" s="125" t="s">
        <v>417</v>
      </c>
      <c r="E40" s="125" t="s">
        <v>194</v>
      </c>
      <c r="F40" s="125"/>
      <c r="G40" s="125" t="s">
        <v>491</v>
      </c>
      <c r="H40" s="125"/>
      <c r="I40" s="125"/>
      <c r="J40" s="125"/>
      <c r="K40" s="124" t="s">
        <v>367</v>
      </c>
      <c r="L40" s="125" t="s">
        <v>6</v>
      </c>
      <c r="M40" s="130"/>
      <c r="N40" s="130" t="s">
        <v>241</v>
      </c>
      <c r="O40" s="130" t="s">
        <v>206</v>
      </c>
      <c r="P40" s="125" t="s">
        <v>264</v>
      </c>
      <c r="Q40" s="126">
        <v>45655</v>
      </c>
      <c r="R40" s="126">
        <f t="shared" si="0"/>
        <v>46385</v>
      </c>
      <c r="S40" s="126">
        <v>45655</v>
      </c>
      <c r="T40" s="124">
        <v>1</v>
      </c>
      <c r="U40" s="124">
        <f t="shared" si="1"/>
        <v>12</v>
      </c>
      <c r="V40" s="126">
        <f t="shared" si="2"/>
        <v>46020</v>
      </c>
      <c r="W40" s="124">
        <f t="shared" ca="1" si="6"/>
        <v>-128</v>
      </c>
      <c r="X40" s="124">
        <f t="shared" ca="1" si="4"/>
        <v>1</v>
      </c>
      <c r="Y40" s="124" t="s">
        <v>296</v>
      </c>
      <c r="Z40" s="124" t="s">
        <v>252</v>
      </c>
      <c r="AA40" s="124" t="s">
        <v>413</v>
      </c>
      <c r="AB40" s="124"/>
      <c r="AC40" s="124"/>
      <c r="AD40" s="124"/>
      <c r="AE40" s="124" t="str">
        <f t="shared" ca="1" si="5"/>
        <v>منتهي</v>
      </c>
      <c r="AF40" s="131"/>
    </row>
    <row r="41" spans="1:32" s="67" customFormat="1" ht="20.149999999999999" customHeight="1">
      <c r="A41" s="129">
        <v>39</v>
      </c>
      <c r="B41" s="125" t="s">
        <v>50</v>
      </c>
      <c r="C41" s="125" t="s">
        <v>51</v>
      </c>
      <c r="D41" s="125" t="s">
        <v>374</v>
      </c>
      <c r="E41" s="125" t="s">
        <v>201</v>
      </c>
      <c r="F41" s="125" t="s">
        <v>524</v>
      </c>
      <c r="G41" s="125" t="s">
        <v>491</v>
      </c>
      <c r="H41" s="125"/>
      <c r="I41" s="125"/>
      <c r="J41" s="125"/>
      <c r="K41" s="124" t="s">
        <v>367</v>
      </c>
      <c r="L41" s="125" t="s">
        <v>461</v>
      </c>
      <c r="M41" s="130"/>
      <c r="N41" s="130" t="s">
        <v>241</v>
      </c>
      <c r="O41" s="130" t="s">
        <v>206</v>
      </c>
      <c r="P41" s="125" t="s">
        <v>260</v>
      </c>
      <c r="Q41" s="126">
        <v>44926</v>
      </c>
      <c r="R41" s="126">
        <f t="shared" si="0"/>
        <v>45657</v>
      </c>
      <c r="S41" s="126">
        <v>45643</v>
      </c>
      <c r="T41" s="124">
        <v>4</v>
      </c>
      <c r="U41" s="124">
        <f t="shared" si="1"/>
        <v>48</v>
      </c>
      <c r="V41" s="126">
        <f t="shared" si="2"/>
        <v>47104</v>
      </c>
      <c r="W41" s="124">
        <f t="shared" ca="1" si="6"/>
        <v>956</v>
      </c>
      <c r="X41" s="124">
        <f t="shared" ca="1" si="4"/>
        <v>3</v>
      </c>
      <c r="Y41" s="124" t="s">
        <v>296</v>
      </c>
      <c r="Z41" s="124" t="s">
        <v>252</v>
      </c>
      <c r="AA41" s="124" t="s">
        <v>413</v>
      </c>
      <c r="AB41" s="124">
        <v>10200061392</v>
      </c>
      <c r="AC41" s="124"/>
      <c r="AD41" s="124"/>
      <c r="AE41" s="124" t="str">
        <f t="shared" ca="1" si="5"/>
        <v>ساري</v>
      </c>
      <c r="AF41" s="131"/>
    </row>
    <row r="42" spans="1:32" s="67" customFormat="1" ht="19.5" customHeight="1">
      <c r="A42" s="129">
        <v>40</v>
      </c>
      <c r="B42" s="125" t="s">
        <v>50</v>
      </c>
      <c r="C42" s="125" t="s">
        <v>51</v>
      </c>
      <c r="D42" s="125" t="s">
        <v>102</v>
      </c>
      <c r="E42" s="125" t="s">
        <v>195</v>
      </c>
      <c r="F42" s="125" t="s">
        <v>385</v>
      </c>
      <c r="G42" s="125" t="s">
        <v>491</v>
      </c>
      <c r="H42" s="125"/>
      <c r="I42" s="125"/>
      <c r="J42" s="125"/>
      <c r="K42" s="124" t="s">
        <v>368</v>
      </c>
      <c r="L42" s="125" t="s">
        <v>6</v>
      </c>
      <c r="M42" s="130" t="s">
        <v>344</v>
      </c>
      <c r="N42" s="130" t="s">
        <v>241</v>
      </c>
      <c r="O42" s="130" t="s">
        <v>206</v>
      </c>
      <c r="P42" s="125" t="s">
        <v>261</v>
      </c>
      <c r="Q42" s="126">
        <v>44921</v>
      </c>
      <c r="R42" s="126">
        <f t="shared" si="0"/>
        <v>45652</v>
      </c>
      <c r="S42" s="126">
        <v>45643</v>
      </c>
      <c r="T42" s="124">
        <v>4</v>
      </c>
      <c r="U42" s="124">
        <f t="shared" si="1"/>
        <v>48</v>
      </c>
      <c r="V42" s="126">
        <f t="shared" si="2"/>
        <v>47104</v>
      </c>
      <c r="W42" s="124">
        <f t="shared" ca="1" si="6"/>
        <v>956</v>
      </c>
      <c r="X42" s="124">
        <f t="shared" ca="1" si="4"/>
        <v>3</v>
      </c>
      <c r="Y42" s="124" t="s">
        <v>293</v>
      </c>
      <c r="Z42" s="124" t="s">
        <v>253</v>
      </c>
      <c r="AA42" s="124" t="s">
        <v>412</v>
      </c>
      <c r="AB42" s="124"/>
      <c r="AC42" s="124"/>
      <c r="AD42" s="124"/>
      <c r="AE42" s="124" t="str">
        <f t="shared" ca="1" si="5"/>
        <v>ساري</v>
      </c>
      <c r="AF42" s="131"/>
    </row>
    <row r="43" spans="1:32" s="67" customFormat="1" ht="20.149999999999999" customHeight="1">
      <c r="A43" s="129">
        <v>41</v>
      </c>
      <c r="B43" s="125" t="s">
        <v>50</v>
      </c>
      <c r="C43" s="125" t="s">
        <v>51</v>
      </c>
      <c r="D43" s="125" t="s">
        <v>105</v>
      </c>
      <c r="E43" s="125" t="s">
        <v>197</v>
      </c>
      <c r="F43" s="125" t="s">
        <v>390</v>
      </c>
      <c r="G43" s="125" t="s">
        <v>491</v>
      </c>
      <c r="H43" s="125"/>
      <c r="I43" s="125"/>
      <c r="J43" s="125"/>
      <c r="K43" s="124" t="s">
        <v>367</v>
      </c>
      <c r="L43" s="125" t="s">
        <v>6</v>
      </c>
      <c r="M43" s="125"/>
      <c r="N43" s="130" t="s">
        <v>241</v>
      </c>
      <c r="O43" s="130" t="s">
        <v>206</v>
      </c>
      <c r="P43" s="125" t="s">
        <v>263</v>
      </c>
      <c r="Q43" s="126">
        <v>44610</v>
      </c>
      <c r="R43" s="126">
        <f t="shared" si="0"/>
        <v>45340</v>
      </c>
      <c r="S43" s="126">
        <v>45680</v>
      </c>
      <c r="T43" s="124">
        <v>1</v>
      </c>
      <c r="U43" s="124">
        <f t="shared" si="1"/>
        <v>12</v>
      </c>
      <c r="V43" s="126">
        <f t="shared" si="2"/>
        <v>46045</v>
      </c>
      <c r="W43" s="124">
        <f t="shared" ca="1" si="6"/>
        <v>-103</v>
      </c>
      <c r="X43" s="124">
        <f t="shared" ca="1" si="4"/>
        <v>4</v>
      </c>
      <c r="Y43" s="124" t="s">
        <v>293</v>
      </c>
      <c r="Z43" s="124" t="s">
        <v>253</v>
      </c>
      <c r="AA43" s="124" t="s">
        <v>412</v>
      </c>
      <c r="AB43" s="124">
        <v>11967240458</v>
      </c>
      <c r="AC43" s="124"/>
      <c r="AD43" s="124"/>
      <c r="AE43" s="124" t="str">
        <f t="shared" ca="1" si="5"/>
        <v>منتهي</v>
      </c>
      <c r="AF43" s="131"/>
    </row>
    <row r="44" spans="1:32" s="67" customFormat="1" ht="20.149999999999999" customHeight="1">
      <c r="A44" s="129">
        <v>42</v>
      </c>
      <c r="B44" s="125" t="s">
        <v>50</v>
      </c>
      <c r="C44" s="125" t="s">
        <v>81</v>
      </c>
      <c r="D44" s="125" t="s">
        <v>101</v>
      </c>
      <c r="E44" s="125" t="s">
        <v>197</v>
      </c>
      <c r="F44" s="125" t="s">
        <v>389</v>
      </c>
      <c r="G44" s="125" t="s">
        <v>492</v>
      </c>
      <c r="H44" s="125"/>
      <c r="I44" s="125"/>
      <c r="J44" s="125"/>
      <c r="K44" s="124" t="s">
        <v>367</v>
      </c>
      <c r="L44" s="125" t="s">
        <v>6</v>
      </c>
      <c r="M44" s="130"/>
      <c r="N44" s="130" t="s">
        <v>241</v>
      </c>
      <c r="O44" s="130" t="s">
        <v>206</v>
      </c>
      <c r="P44" s="125" t="s">
        <v>264</v>
      </c>
      <c r="Q44" s="126">
        <v>44940</v>
      </c>
      <c r="R44" s="126">
        <f t="shared" si="0"/>
        <v>45671</v>
      </c>
      <c r="S44" s="126">
        <v>45643</v>
      </c>
      <c r="T44" s="124">
        <v>4</v>
      </c>
      <c r="U44" s="124">
        <f t="shared" si="1"/>
        <v>48</v>
      </c>
      <c r="V44" s="126">
        <f t="shared" si="2"/>
        <v>47104</v>
      </c>
      <c r="W44" s="124">
        <f t="shared" ca="1" si="6"/>
        <v>956</v>
      </c>
      <c r="X44" s="124">
        <f t="shared" ca="1" si="4"/>
        <v>3</v>
      </c>
      <c r="Y44" s="124" t="s">
        <v>293</v>
      </c>
      <c r="Z44" s="124" t="s">
        <v>253</v>
      </c>
      <c r="AA44" s="124" t="s">
        <v>412</v>
      </c>
      <c r="AB44" s="124"/>
      <c r="AC44" s="124"/>
      <c r="AD44" s="124"/>
      <c r="AE44" s="124" t="str">
        <f t="shared" ca="1" si="5"/>
        <v>ساري</v>
      </c>
      <c r="AF44" s="131"/>
    </row>
    <row r="45" spans="1:32" s="67" customFormat="1" ht="20.149999999999999" customHeight="1">
      <c r="A45" s="129">
        <v>43</v>
      </c>
      <c r="B45" s="125" t="s">
        <v>50</v>
      </c>
      <c r="C45" s="125" t="s">
        <v>81</v>
      </c>
      <c r="D45" s="125" t="s">
        <v>116</v>
      </c>
      <c r="E45" s="125" t="s">
        <v>194</v>
      </c>
      <c r="F45" s="125" t="s">
        <v>381</v>
      </c>
      <c r="G45" s="125" t="s">
        <v>492</v>
      </c>
      <c r="H45" s="125"/>
      <c r="I45" s="125"/>
      <c r="J45" s="125"/>
      <c r="K45" s="124" t="s">
        <v>367</v>
      </c>
      <c r="L45" s="125" t="s">
        <v>6</v>
      </c>
      <c r="M45" s="130"/>
      <c r="N45" s="130" t="s">
        <v>234</v>
      </c>
      <c r="O45" s="130" t="s">
        <v>206</v>
      </c>
      <c r="P45" s="125" t="s">
        <v>416</v>
      </c>
      <c r="Q45" s="126">
        <v>44906</v>
      </c>
      <c r="R45" s="126">
        <f t="shared" si="0"/>
        <v>45637</v>
      </c>
      <c r="S45" s="126">
        <v>45643</v>
      </c>
      <c r="T45" s="124">
        <v>4</v>
      </c>
      <c r="U45" s="124">
        <f t="shared" si="1"/>
        <v>48</v>
      </c>
      <c r="V45" s="126">
        <f t="shared" si="2"/>
        <v>47104</v>
      </c>
      <c r="W45" s="124">
        <f t="shared" ca="1" si="6"/>
        <v>956</v>
      </c>
      <c r="X45" s="124">
        <f t="shared" ca="1" si="4"/>
        <v>3</v>
      </c>
      <c r="Y45" s="124" t="s">
        <v>293</v>
      </c>
      <c r="Z45" s="124" t="s">
        <v>253</v>
      </c>
      <c r="AA45" s="124" t="s">
        <v>413</v>
      </c>
      <c r="AB45" s="124"/>
      <c r="AC45" s="124"/>
      <c r="AD45" s="124"/>
      <c r="AE45" s="124" t="str">
        <f t="shared" ca="1" si="5"/>
        <v>ساري</v>
      </c>
      <c r="AF45" s="131"/>
    </row>
    <row r="46" spans="1:32" s="67" customFormat="1" ht="20.149999999999999" customHeight="1">
      <c r="A46" s="129">
        <v>44</v>
      </c>
      <c r="B46" s="125" t="s">
        <v>50</v>
      </c>
      <c r="C46" s="125" t="s">
        <v>81</v>
      </c>
      <c r="D46" s="125" t="s">
        <v>120</v>
      </c>
      <c r="E46" s="125" t="s">
        <v>197</v>
      </c>
      <c r="F46" s="125" t="s">
        <v>389</v>
      </c>
      <c r="G46" s="125" t="s">
        <v>492</v>
      </c>
      <c r="H46" s="125"/>
      <c r="I46" s="125"/>
      <c r="J46" s="125"/>
      <c r="K46" s="124" t="s">
        <v>367</v>
      </c>
      <c r="L46" s="125" t="s">
        <v>461</v>
      </c>
      <c r="M46" s="130"/>
      <c r="N46" s="130" t="s">
        <v>241</v>
      </c>
      <c r="O46" s="130" t="s">
        <v>206</v>
      </c>
      <c r="P46" s="125" t="s">
        <v>269</v>
      </c>
      <c r="Q46" s="126">
        <v>44957</v>
      </c>
      <c r="R46" s="126">
        <f t="shared" si="0"/>
        <v>45688</v>
      </c>
      <c r="S46" s="126">
        <v>45643</v>
      </c>
      <c r="T46" s="124">
        <v>4</v>
      </c>
      <c r="U46" s="124">
        <f t="shared" si="1"/>
        <v>48</v>
      </c>
      <c r="V46" s="126">
        <f t="shared" si="2"/>
        <v>47104</v>
      </c>
      <c r="W46" s="124">
        <f t="shared" ca="1" si="6"/>
        <v>956</v>
      </c>
      <c r="X46" s="124">
        <f t="shared" ca="1" si="4"/>
        <v>3</v>
      </c>
      <c r="Y46" s="124" t="s">
        <v>293</v>
      </c>
      <c r="Z46" s="124" t="s">
        <v>253</v>
      </c>
      <c r="AA46" s="124" t="s">
        <v>412</v>
      </c>
      <c r="AB46" s="124"/>
      <c r="AC46" s="124"/>
      <c r="AD46" s="124"/>
      <c r="AE46" s="124" t="str">
        <f t="shared" ca="1" si="5"/>
        <v>ساري</v>
      </c>
      <c r="AF46" s="131"/>
    </row>
    <row r="47" spans="1:32" s="67" customFormat="1" ht="20.149999999999999" customHeight="1">
      <c r="A47" s="129">
        <v>45</v>
      </c>
      <c r="B47" s="125" t="s">
        <v>50</v>
      </c>
      <c r="C47" s="125" t="s">
        <v>81</v>
      </c>
      <c r="D47" s="125" t="s">
        <v>121</v>
      </c>
      <c r="E47" s="125" t="s">
        <v>197</v>
      </c>
      <c r="F47" s="125" t="s">
        <v>390</v>
      </c>
      <c r="G47" s="125" t="s">
        <v>492</v>
      </c>
      <c r="H47" s="125"/>
      <c r="I47" s="125"/>
      <c r="J47" s="125"/>
      <c r="K47" s="124" t="s">
        <v>367</v>
      </c>
      <c r="L47" s="125" t="s">
        <v>6</v>
      </c>
      <c r="M47" s="130"/>
      <c r="N47" s="130" t="s">
        <v>241</v>
      </c>
      <c r="O47" s="130" t="s">
        <v>206</v>
      </c>
      <c r="P47" s="125" t="s">
        <v>266</v>
      </c>
      <c r="Q47" s="126">
        <v>44972</v>
      </c>
      <c r="R47" s="126">
        <f t="shared" si="0"/>
        <v>45703</v>
      </c>
      <c r="S47" s="126">
        <v>45643</v>
      </c>
      <c r="T47" s="124">
        <v>4</v>
      </c>
      <c r="U47" s="124">
        <f t="shared" si="1"/>
        <v>48</v>
      </c>
      <c r="V47" s="126">
        <f t="shared" si="2"/>
        <v>47104</v>
      </c>
      <c r="W47" s="124">
        <f t="shared" ca="1" si="6"/>
        <v>956</v>
      </c>
      <c r="X47" s="124">
        <f t="shared" ca="1" si="4"/>
        <v>3</v>
      </c>
      <c r="Y47" s="124" t="s">
        <v>293</v>
      </c>
      <c r="Z47" s="124" t="s">
        <v>253</v>
      </c>
      <c r="AA47" s="124" t="s">
        <v>413</v>
      </c>
      <c r="AB47" s="124">
        <v>11590117259</v>
      </c>
      <c r="AC47" s="124"/>
      <c r="AD47" s="124"/>
      <c r="AE47" s="124" t="str">
        <f t="shared" ca="1" si="5"/>
        <v>ساري</v>
      </c>
      <c r="AF47" s="131"/>
    </row>
    <row r="48" spans="1:32" s="67" customFormat="1" ht="20.149999999999999" customHeight="1">
      <c r="A48" s="129">
        <v>46</v>
      </c>
      <c r="B48" s="125" t="s">
        <v>50</v>
      </c>
      <c r="C48" s="125" t="s">
        <v>81</v>
      </c>
      <c r="D48" s="125" t="s">
        <v>123</v>
      </c>
      <c r="E48" s="125" t="s">
        <v>195</v>
      </c>
      <c r="F48" s="125" t="s">
        <v>385</v>
      </c>
      <c r="G48" s="125" t="s">
        <v>492</v>
      </c>
      <c r="H48" s="125"/>
      <c r="I48" s="125"/>
      <c r="J48" s="125"/>
      <c r="K48" s="124" t="s">
        <v>367</v>
      </c>
      <c r="L48" s="125" t="s">
        <v>6</v>
      </c>
      <c r="M48" s="130" t="s">
        <v>344</v>
      </c>
      <c r="N48" s="130" t="s">
        <v>241</v>
      </c>
      <c r="O48" s="130" t="s">
        <v>206</v>
      </c>
      <c r="P48" s="125" t="s">
        <v>265</v>
      </c>
      <c r="Q48" s="126">
        <v>44987</v>
      </c>
      <c r="R48" s="126">
        <f t="shared" si="0"/>
        <v>45718</v>
      </c>
      <c r="S48" s="126">
        <v>45643</v>
      </c>
      <c r="T48" s="124">
        <v>4</v>
      </c>
      <c r="U48" s="124">
        <f t="shared" si="1"/>
        <v>48</v>
      </c>
      <c r="V48" s="126">
        <f t="shared" si="2"/>
        <v>47104</v>
      </c>
      <c r="W48" s="124">
        <f t="shared" ca="1" si="6"/>
        <v>956</v>
      </c>
      <c r="X48" s="124">
        <f t="shared" ca="1" si="4"/>
        <v>3</v>
      </c>
      <c r="Y48" s="124" t="s">
        <v>293</v>
      </c>
      <c r="Z48" s="124" t="s">
        <v>253</v>
      </c>
      <c r="AA48" s="124" t="s">
        <v>412</v>
      </c>
      <c r="AB48" s="124">
        <v>11266995626</v>
      </c>
      <c r="AC48" s="124"/>
      <c r="AD48" s="124"/>
      <c r="AE48" s="124" t="str">
        <f t="shared" ca="1" si="5"/>
        <v>ساري</v>
      </c>
      <c r="AF48" s="131"/>
    </row>
    <row r="49" spans="1:32" s="67" customFormat="1" ht="20.149999999999999" customHeight="1">
      <c r="A49" s="129">
        <v>47</v>
      </c>
      <c r="B49" s="125" t="s">
        <v>50</v>
      </c>
      <c r="C49" s="125" t="s">
        <v>81</v>
      </c>
      <c r="D49" s="125" t="s">
        <v>297</v>
      </c>
      <c r="E49" s="125" t="s">
        <v>195</v>
      </c>
      <c r="F49" s="125" t="s">
        <v>385</v>
      </c>
      <c r="G49" s="125" t="s">
        <v>492</v>
      </c>
      <c r="H49" s="125"/>
      <c r="I49" s="125"/>
      <c r="J49" s="125"/>
      <c r="K49" s="124" t="s">
        <v>367</v>
      </c>
      <c r="L49" s="125" t="s">
        <v>6</v>
      </c>
      <c r="M49" s="130" t="s">
        <v>377</v>
      </c>
      <c r="N49" s="130" t="s">
        <v>235</v>
      </c>
      <c r="O49" s="130" t="s">
        <v>206</v>
      </c>
      <c r="P49" s="125" t="s">
        <v>267</v>
      </c>
      <c r="Q49" s="126">
        <v>44619</v>
      </c>
      <c r="R49" s="126">
        <f t="shared" si="0"/>
        <v>45349</v>
      </c>
      <c r="S49" s="126">
        <v>45643</v>
      </c>
      <c r="T49" s="124">
        <v>4</v>
      </c>
      <c r="U49" s="124">
        <f t="shared" si="1"/>
        <v>48</v>
      </c>
      <c r="V49" s="126">
        <f t="shared" si="2"/>
        <v>47104</v>
      </c>
      <c r="W49" s="124">
        <f t="shared" ca="1" si="6"/>
        <v>956</v>
      </c>
      <c r="X49" s="124">
        <f t="shared" ca="1" si="4"/>
        <v>4</v>
      </c>
      <c r="Y49" s="124" t="s">
        <v>293</v>
      </c>
      <c r="Z49" s="124" t="s">
        <v>253</v>
      </c>
      <c r="AA49" s="124" t="s">
        <v>412</v>
      </c>
      <c r="AB49" s="124">
        <v>12012994134</v>
      </c>
      <c r="AC49" s="124"/>
      <c r="AD49" s="124"/>
      <c r="AE49" s="124" t="str">
        <f t="shared" ca="1" si="5"/>
        <v>ساري</v>
      </c>
      <c r="AF49" s="131"/>
    </row>
    <row r="50" spans="1:32" s="67" customFormat="1" ht="20.149999999999999" customHeight="1">
      <c r="A50" s="129">
        <v>48</v>
      </c>
      <c r="B50" s="125" t="s">
        <v>50</v>
      </c>
      <c r="C50" s="125" t="s">
        <v>110</v>
      </c>
      <c r="D50" s="125" t="s">
        <v>115</v>
      </c>
      <c r="E50" s="125" t="s">
        <v>197</v>
      </c>
      <c r="F50" s="125" t="s">
        <v>389</v>
      </c>
      <c r="G50" s="125" t="s">
        <v>492</v>
      </c>
      <c r="H50" s="125"/>
      <c r="I50" s="125"/>
      <c r="J50" s="125"/>
      <c r="K50" s="124" t="s">
        <v>367</v>
      </c>
      <c r="L50" s="125" t="s">
        <v>6</v>
      </c>
      <c r="M50" s="130"/>
      <c r="N50" s="130" t="s">
        <v>241</v>
      </c>
      <c r="O50" s="130" t="s">
        <v>206</v>
      </c>
      <c r="P50" s="125" t="s">
        <v>264</v>
      </c>
      <c r="Q50" s="126">
        <v>44940</v>
      </c>
      <c r="R50" s="126">
        <f t="shared" si="0"/>
        <v>45671</v>
      </c>
      <c r="S50" s="126">
        <v>45643</v>
      </c>
      <c r="T50" s="124">
        <v>4</v>
      </c>
      <c r="U50" s="124">
        <f t="shared" si="1"/>
        <v>48</v>
      </c>
      <c r="V50" s="126">
        <f t="shared" si="2"/>
        <v>47104</v>
      </c>
      <c r="W50" s="124">
        <f t="shared" ca="1" si="6"/>
        <v>956</v>
      </c>
      <c r="X50" s="124">
        <f t="shared" ca="1" si="4"/>
        <v>3</v>
      </c>
      <c r="Y50" s="124" t="s">
        <v>293</v>
      </c>
      <c r="Z50" s="124" t="s">
        <v>253</v>
      </c>
      <c r="AA50" s="124" t="s">
        <v>412</v>
      </c>
      <c r="AB50" s="124">
        <v>11597402924</v>
      </c>
      <c r="AC50" s="124"/>
      <c r="AD50" s="124"/>
      <c r="AE50" s="124" t="str">
        <f t="shared" ca="1" si="5"/>
        <v>ساري</v>
      </c>
      <c r="AF50" s="131"/>
    </row>
    <row r="51" spans="1:32" s="67" customFormat="1" ht="20.149999999999999" customHeight="1">
      <c r="A51" s="129">
        <v>49</v>
      </c>
      <c r="B51" s="125" t="s">
        <v>50</v>
      </c>
      <c r="C51" s="125" t="s">
        <v>110</v>
      </c>
      <c r="D51" s="125" t="s">
        <v>138</v>
      </c>
      <c r="E51" s="125" t="s">
        <v>197</v>
      </c>
      <c r="F51" s="125" t="s">
        <v>389</v>
      </c>
      <c r="G51" s="125" t="s">
        <v>493</v>
      </c>
      <c r="H51" s="125"/>
      <c r="I51" s="125"/>
      <c r="J51" s="125"/>
      <c r="K51" s="124" t="s">
        <v>367</v>
      </c>
      <c r="L51" s="125" t="s">
        <v>6</v>
      </c>
      <c r="M51" s="130"/>
      <c r="N51" s="130" t="s">
        <v>241</v>
      </c>
      <c r="O51" s="130" t="s">
        <v>206</v>
      </c>
      <c r="P51" s="125" t="s">
        <v>265</v>
      </c>
      <c r="Q51" s="126">
        <v>44987</v>
      </c>
      <c r="R51" s="126">
        <f t="shared" si="0"/>
        <v>45718</v>
      </c>
      <c r="S51" s="126">
        <v>45643</v>
      </c>
      <c r="T51" s="124">
        <v>4</v>
      </c>
      <c r="U51" s="124">
        <f t="shared" si="1"/>
        <v>48</v>
      </c>
      <c r="V51" s="126">
        <f t="shared" si="2"/>
        <v>47104</v>
      </c>
      <c r="W51" s="124">
        <f t="shared" ca="1" si="6"/>
        <v>956</v>
      </c>
      <c r="X51" s="124">
        <f t="shared" ca="1" si="4"/>
        <v>3</v>
      </c>
      <c r="Y51" s="124" t="s">
        <v>293</v>
      </c>
      <c r="Z51" s="124" t="s">
        <v>253</v>
      </c>
      <c r="AA51" s="124" t="s">
        <v>412</v>
      </c>
      <c r="AB51" s="124">
        <v>11588665015</v>
      </c>
      <c r="AC51" s="124"/>
      <c r="AD51" s="124"/>
      <c r="AE51" s="124" t="str">
        <f t="shared" ca="1" si="5"/>
        <v>ساري</v>
      </c>
      <c r="AF51" s="131"/>
    </row>
    <row r="52" spans="1:32" s="67" customFormat="1" ht="20.149999999999999" customHeight="1">
      <c r="A52" s="129">
        <v>50</v>
      </c>
      <c r="B52" s="125" t="s">
        <v>50</v>
      </c>
      <c r="C52" s="125" t="s">
        <v>124</v>
      </c>
      <c r="D52" s="125" t="s">
        <v>131</v>
      </c>
      <c r="E52" s="125" t="s">
        <v>197</v>
      </c>
      <c r="F52" s="125" t="s">
        <v>389</v>
      </c>
      <c r="G52" s="125" t="s">
        <v>493</v>
      </c>
      <c r="H52" s="125"/>
      <c r="I52" s="125"/>
      <c r="J52" s="125"/>
      <c r="K52" s="124" t="s">
        <v>367</v>
      </c>
      <c r="L52" s="125" t="s">
        <v>6</v>
      </c>
      <c r="M52" s="130"/>
      <c r="N52" s="130" t="s">
        <v>241</v>
      </c>
      <c r="O52" s="130" t="s">
        <v>206</v>
      </c>
      <c r="P52" s="125" t="s">
        <v>264</v>
      </c>
      <c r="Q52" s="126">
        <v>44940</v>
      </c>
      <c r="R52" s="126">
        <f t="shared" si="0"/>
        <v>45671</v>
      </c>
      <c r="S52" s="126">
        <v>45643</v>
      </c>
      <c r="T52" s="124">
        <v>4</v>
      </c>
      <c r="U52" s="124">
        <f t="shared" si="1"/>
        <v>48</v>
      </c>
      <c r="V52" s="126">
        <f t="shared" si="2"/>
        <v>47104</v>
      </c>
      <c r="W52" s="124">
        <f t="shared" ca="1" si="6"/>
        <v>956</v>
      </c>
      <c r="X52" s="124">
        <f t="shared" ca="1" si="4"/>
        <v>3</v>
      </c>
      <c r="Y52" s="124" t="s">
        <v>296</v>
      </c>
      <c r="Z52" s="124" t="s">
        <v>252</v>
      </c>
      <c r="AA52" s="124" t="s">
        <v>413</v>
      </c>
      <c r="AB52" s="124"/>
      <c r="AC52" s="124"/>
      <c r="AD52" s="124"/>
      <c r="AE52" s="124" t="str">
        <f t="shared" ca="1" si="5"/>
        <v>ساري</v>
      </c>
      <c r="AF52" s="131"/>
    </row>
    <row r="53" spans="1:32" s="67" customFormat="1" ht="20.149999999999999" customHeight="1">
      <c r="A53" s="129">
        <v>51</v>
      </c>
      <c r="B53" s="125" t="s">
        <v>6</v>
      </c>
      <c r="C53" s="125" t="s">
        <v>6</v>
      </c>
      <c r="D53" s="125" t="s">
        <v>148</v>
      </c>
      <c r="E53" s="125" t="s">
        <v>195</v>
      </c>
      <c r="F53" s="125" t="s">
        <v>424</v>
      </c>
      <c r="G53" s="125"/>
      <c r="H53" s="125"/>
      <c r="I53" s="125"/>
      <c r="J53" s="125" t="s">
        <v>452</v>
      </c>
      <c r="K53" s="124" t="s">
        <v>367</v>
      </c>
      <c r="L53" s="125" t="s">
        <v>6</v>
      </c>
      <c r="M53" s="130"/>
      <c r="N53" s="130" t="s">
        <v>241</v>
      </c>
      <c r="O53" s="130" t="s">
        <v>207</v>
      </c>
      <c r="P53" s="125"/>
      <c r="Q53" s="126">
        <v>39524</v>
      </c>
      <c r="R53" s="126">
        <f t="shared" si="0"/>
        <v>40254</v>
      </c>
      <c r="S53" s="126">
        <v>45931</v>
      </c>
      <c r="T53" s="124">
        <v>1</v>
      </c>
      <c r="U53" s="124">
        <f t="shared" si="1"/>
        <v>12</v>
      </c>
      <c r="V53" s="126">
        <f t="shared" si="2"/>
        <v>46296</v>
      </c>
      <c r="W53" s="124">
        <f t="shared" ca="1" si="6"/>
        <v>148</v>
      </c>
      <c r="X53" s="124">
        <f t="shared" ca="1" si="4"/>
        <v>18</v>
      </c>
      <c r="Y53" s="124" t="s">
        <v>293</v>
      </c>
      <c r="Z53" s="124" t="s">
        <v>253</v>
      </c>
      <c r="AA53" s="124" t="s">
        <v>412</v>
      </c>
      <c r="AB53" s="124"/>
      <c r="AC53" s="124"/>
      <c r="AD53" s="134"/>
      <c r="AE53" s="124" t="str">
        <f t="shared" ca="1" si="5"/>
        <v>ساري</v>
      </c>
      <c r="AF53" s="131"/>
    </row>
    <row r="54" spans="1:32" s="67" customFormat="1" ht="20.149999999999999" customHeight="1">
      <c r="A54" s="129">
        <v>52</v>
      </c>
      <c r="B54" s="125" t="s">
        <v>6</v>
      </c>
      <c r="C54" s="125" t="s">
        <v>42</v>
      </c>
      <c r="D54" s="125" t="s">
        <v>43</v>
      </c>
      <c r="E54" s="125" t="s">
        <v>195</v>
      </c>
      <c r="F54" s="125" t="s">
        <v>425</v>
      </c>
      <c r="G54" s="125"/>
      <c r="H54" s="125"/>
      <c r="I54" s="125"/>
      <c r="J54" s="125" t="s">
        <v>434</v>
      </c>
      <c r="K54" s="124" t="s">
        <v>367</v>
      </c>
      <c r="L54" s="125" t="s">
        <v>460</v>
      </c>
      <c r="M54" s="130"/>
      <c r="N54" s="130" t="s">
        <v>234</v>
      </c>
      <c r="O54" s="130" t="s">
        <v>207</v>
      </c>
      <c r="P54" s="125"/>
      <c r="Q54" s="126">
        <v>41913</v>
      </c>
      <c r="R54" s="126">
        <f t="shared" si="0"/>
        <v>42644</v>
      </c>
      <c r="S54" s="126">
        <v>45931</v>
      </c>
      <c r="T54" s="124">
        <v>1</v>
      </c>
      <c r="U54" s="124">
        <f t="shared" si="1"/>
        <v>12</v>
      </c>
      <c r="V54" s="126">
        <f t="shared" si="2"/>
        <v>46296</v>
      </c>
      <c r="W54" s="124">
        <f t="shared" ca="1" si="6"/>
        <v>148</v>
      </c>
      <c r="X54" s="124">
        <f t="shared" ca="1" si="4"/>
        <v>11</v>
      </c>
      <c r="Y54" s="124" t="s">
        <v>293</v>
      </c>
      <c r="Z54" s="124" t="s">
        <v>253</v>
      </c>
      <c r="AA54" s="124" t="s">
        <v>413</v>
      </c>
      <c r="AB54" s="124"/>
      <c r="AC54" s="124"/>
      <c r="AD54" s="134"/>
      <c r="AE54" s="124" t="str">
        <f t="shared" ca="1" si="5"/>
        <v>ساري</v>
      </c>
      <c r="AF54" s="131"/>
    </row>
    <row r="55" spans="1:32" s="67" customFormat="1" ht="20.149999999999999" customHeight="1">
      <c r="A55" s="129">
        <v>53</v>
      </c>
      <c r="B55" s="125" t="s">
        <v>6</v>
      </c>
      <c r="C55" s="125" t="s">
        <v>6</v>
      </c>
      <c r="D55" s="125" t="s">
        <v>146</v>
      </c>
      <c r="E55" s="125" t="s">
        <v>197</v>
      </c>
      <c r="F55" s="125" t="s">
        <v>389</v>
      </c>
      <c r="G55" s="125"/>
      <c r="H55" s="125"/>
      <c r="I55" s="125"/>
      <c r="J55" s="125" t="s">
        <v>434</v>
      </c>
      <c r="K55" s="124" t="s">
        <v>367</v>
      </c>
      <c r="L55" s="125" t="s">
        <v>461</v>
      </c>
      <c r="M55" s="130"/>
      <c r="N55" s="130" t="s">
        <v>241</v>
      </c>
      <c r="O55" s="130" t="s">
        <v>207</v>
      </c>
      <c r="P55" s="125"/>
      <c r="Q55" s="126">
        <v>44726</v>
      </c>
      <c r="R55" s="126">
        <f t="shared" si="0"/>
        <v>45457</v>
      </c>
      <c r="S55" s="126">
        <v>45931</v>
      </c>
      <c r="T55" s="124">
        <v>1</v>
      </c>
      <c r="U55" s="124">
        <f t="shared" si="1"/>
        <v>12</v>
      </c>
      <c r="V55" s="126">
        <f t="shared" si="2"/>
        <v>46296</v>
      </c>
      <c r="W55" s="124">
        <f t="shared" ca="1" si="6"/>
        <v>148</v>
      </c>
      <c r="X55" s="124">
        <f t="shared" ca="1" si="4"/>
        <v>3</v>
      </c>
      <c r="Y55" s="124" t="s">
        <v>293</v>
      </c>
      <c r="Z55" s="124" t="s">
        <v>253</v>
      </c>
      <c r="AA55" s="124" t="s">
        <v>412</v>
      </c>
      <c r="AB55" s="124"/>
      <c r="AC55" s="124"/>
      <c r="AD55" s="134"/>
      <c r="AE55" s="124" t="str">
        <f t="shared" ca="1" si="5"/>
        <v>ساري</v>
      </c>
      <c r="AF55" s="131"/>
    </row>
    <row r="56" spans="1:32" s="67" customFormat="1" ht="20.149999999999999" customHeight="1">
      <c r="A56" s="129">
        <v>54</v>
      </c>
      <c r="B56" s="125" t="s">
        <v>6</v>
      </c>
      <c r="C56" s="125" t="s">
        <v>42</v>
      </c>
      <c r="D56" s="125" t="s">
        <v>45</v>
      </c>
      <c r="E56" s="125" t="s">
        <v>197</v>
      </c>
      <c r="F56" s="125"/>
      <c r="G56" s="125"/>
      <c r="H56" s="125"/>
      <c r="I56" s="125"/>
      <c r="J56" s="125" t="s">
        <v>446</v>
      </c>
      <c r="K56" s="124" t="s">
        <v>367</v>
      </c>
      <c r="L56" s="125" t="s">
        <v>460</v>
      </c>
      <c r="M56" s="130"/>
      <c r="N56" s="130" t="s">
        <v>241</v>
      </c>
      <c r="O56" s="130" t="s">
        <v>207</v>
      </c>
      <c r="P56" s="125"/>
      <c r="Q56" s="126">
        <v>44929</v>
      </c>
      <c r="R56" s="126">
        <f t="shared" si="0"/>
        <v>45660</v>
      </c>
      <c r="S56" s="126">
        <v>45660</v>
      </c>
      <c r="T56" s="124">
        <v>1</v>
      </c>
      <c r="U56" s="124">
        <f t="shared" si="1"/>
        <v>12</v>
      </c>
      <c r="V56" s="126">
        <f t="shared" si="2"/>
        <v>46025</v>
      </c>
      <c r="W56" s="124">
        <f t="shared" ca="1" si="6"/>
        <v>-123</v>
      </c>
      <c r="X56" s="124">
        <f t="shared" ca="1" si="4"/>
        <v>3</v>
      </c>
      <c r="Y56" s="124" t="s">
        <v>293</v>
      </c>
      <c r="Z56" s="124" t="s">
        <v>253</v>
      </c>
      <c r="AA56" s="124" t="s">
        <v>412</v>
      </c>
      <c r="AB56" s="124"/>
      <c r="AC56" s="124"/>
      <c r="AD56" s="134"/>
      <c r="AE56" s="124" t="str">
        <f t="shared" ca="1" si="5"/>
        <v>منتهي</v>
      </c>
      <c r="AF56" s="131"/>
    </row>
    <row r="57" spans="1:32" s="67" customFormat="1" ht="20.149999999999999" customHeight="1">
      <c r="A57" s="129">
        <v>55</v>
      </c>
      <c r="B57" s="125" t="s">
        <v>6</v>
      </c>
      <c r="C57" s="125" t="s">
        <v>6</v>
      </c>
      <c r="D57" s="125" t="s">
        <v>151</v>
      </c>
      <c r="E57" s="125" t="s">
        <v>195</v>
      </c>
      <c r="F57" s="125" t="s">
        <v>393</v>
      </c>
      <c r="G57" s="125"/>
      <c r="H57" s="125"/>
      <c r="I57" s="125"/>
      <c r="J57" s="125" t="s">
        <v>435</v>
      </c>
      <c r="K57" s="124" t="s">
        <v>367</v>
      </c>
      <c r="L57" s="125" t="s">
        <v>6</v>
      </c>
      <c r="M57" s="130" t="s">
        <v>344</v>
      </c>
      <c r="N57" s="130" t="s">
        <v>234</v>
      </c>
      <c r="O57" s="130" t="s">
        <v>208</v>
      </c>
      <c r="P57" s="125"/>
      <c r="Q57" s="126">
        <v>44971</v>
      </c>
      <c r="R57" s="126">
        <f t="shared" si="0"/>
        <v>45702</v>
      </c>
      <c r="S57" s="126">
        <v>45702</v>
      </c>
      <c r="T57" s="124">
        <v>1</v>
      </c>
      <c r="U57" s="124">
        <f t="shared" si="1"/>
        <v>12</v>
      </c>
      <c r="V57" s="126">
        <f t="shared" si="2"/>
        <v>46067</v>
      </c>
      <c r="W57" s="124">
        <f t="shared" ca="1" si="6"/>
        <v>-81</v>
      </c>
      <c r="X57" s="124">
        <f t="shared" ca="1" si="4"/>
        <v>3</v>
      </c>
      <c r="Y57" s="124" t="s">
        <v>293</v>
      </c>
      <c r="Z57" s="124" t="s">
        <v>253</v>
      </c>
      <c r="AA57" s="124" t="s">
        <v>413</v>
      </c>
      <c r="AB57" s="124">
        <v>11931528476</v>
      </c>
      <c r="AC57" s="124"/>
      <c r="AD57" s="134">
        <v>181637.28</v>
      </c>
      <c r="AE57" s="124" t="str">
        <f t="shared" ca="1" si="5"/>
        <v>منتهي</v>
      </c>
      <c r="AF57" s="131"/>
    </row>
    <row r="58" spans="1:32" s="67" customFormat="1" ht="20.149999999999999" customHeight="1">
      <c r="A58" s="129">
        <v>56</v>
      </c>
      <c r="B58" s="125" t="s">
        <v>6</v>
      </c>
      <c r="C58" s="125" t="s">
        <v>6</v>
      </c>
      <c r="D58" s="125" t="s">
        <v>245</v>
      </c>
      <c r="E58" s="125" t="s">
        <v>195</v>
      </c>
      <c r="F58" s="125" t="s">
        <v>393</v>
      </c>
      <c r="G58" s="125"/>
      <c r="H58" s="125"/>
      <c r="I58" s="125"/>
      <c r="J58" s="125" t="s">
        <v>448</v>
      </c>
      <c r="K58" s="124" t="s">
        <v>367</v>
      </c>
      <c r="L58" s="125" t="s">
        <v>6</v>
      </c>
      <c r="M58" s="130" t="s">
        <v>377</v>
      </c>
      <c r="N58" s="130" t="s">
        <v>241</v>
      </c>
      <c r="O58" s="130" t="s">
        <v>208</v>
      </c>
      <c r="P58" s="125"/>
      <c r="Q58" s="126">
        <v>44977</v>
      </c>
      <c r="R58" s="126">
        <f t="shared" si="0"/>
        <v>45708</v>
      </c>
      <c r="S58" s="126">
        <v>45708</v>
      </c>
      <c r="T58" s="124">
        <v>1</v>
      </c>
      <c r="U58" s="124">
        <f t="shared" si="1"/>
        <v>12</v>
      </c>
      <c r="V58" s="126">
        <f t="shared" si="2"/>
        <v>46073</v>
      </c>
      <c r="W58" s="124">
        <f t="shared" ca="1" si="6"/>
        <v>-75</v>
      </c>
      <c r="X58" s="124">
        <f t="shared" ca="1" si="4"/>
        <v>3</v>
      </c>
      <c r="Y58" s="124" t="s">
        <v>422</v>
      </c>
      <c r="Z58" s="124" t="s">
        <v>252</v>
      </c>
      <c r="AA58" s="124" t="s">
        <v>413</v>
      </c>
      <c r="AB58" s="124"/>
      <c r="AC58" s="124"/>
      <c r="AD58" s="134">
        <v>232784.25</v>
      </c>
      <c r="AE58" s="124" t="str">
        <f t="shared" ca="1" si="5"/>
        <v>منتهي</v>
      </c>
      <c r="AF58" s="131"/>
    </row>
    <row r="59" spans="1:32" s="67" customFormat="1" ht="20.149999999999999" customHeight="1">
      <c r="A59" s="129">
        <v>58</v>
      </c>
      <c r="B59" s="125" t="s">
        <v>6</v>
      </c>
      <c r="C59" s="125" t="s">
        <v>6</v>
      </c>
      <c r="D59" s="125" t="s">
        <v>150</v>
      </c>
      <c r="E59" s="125" t="s">
        <v>195</v>
      </c>
      <c r="F59" s="125" t="s">
        <v>392</v>
      </c>
      <c r="G59" s="125"/>
      <c r="H59" s="125"/>
      <c r="I59" s="125"/>
      <c r="J59" s="125" t="s">
        <v>443</v>
      </c>
      <c r="K59" s="124" t="s">
        <v>367</v>
      </c>
      <c r="L59" s="125" t="s">
        <v>6</v>
      </c>
      <c r="M59" s="130"/>
      <c r="N59" s="130" t="s">
        <v>236</v>
      </c>
      <c r="O59" s="130" t="s">
        <v>208</v>
      </c>
      <c r="P59" s="125"/>
      <c r="Q59" s="126">
        <v>44979</v>
      </c>
      <c r="R59" s="126">
        <f t="shared" si="0"/>
        <v>45710</v>
      </c>
      <c r="S59" s="126">
        <v>45708</v>
      </c>
      <c r="T59" s="124">
        <v>1</v>
      </c>
      <c r="U59" s="124">
        <f t="shared" si="1"/>
        <v>12</v>
      </c>
      <c r="V59" s="126">
        <f t="shared" si="2"/>
        <v>46073</v>
      </c>
      <c r="W59" s="124">
        <f t="shared" ca="1" si="6"/>
        <v>-75</v>
      </c>
      <c r="X59" s="124">
        <f t="shared" ca="1" si="4"/>
        <v>3</v>
      </c>
      <c r="Y59" s="124" t="s">
        <v>293</v>
      </c>
      <c r="Z59" s="124" t="s">
        <v>253</v>
      </c>
      <c r="AA59" s="124" t="s">
        <v>412</v>
      </c>
      <c r="AB59" s="124"/>
      <c r="AC59" s="124"/>
      <c r="AD59" s="134">
        <v>219323.49</v>
      </c>
      <c r="AE59" s="124" t="str">
        <f t="shared" ca="1" si="5"/>
        <v>منتهي</v>
      </c>
      <c r="AF59" s="131"/>
    </row>
    <row r="60" spans="1:32" s="67" customFormat="1" ht="20.149999999999999" customHeight="1">
      <c r="A60" s="129">
        <v>59</v>
      </c>
      <c r="B60" s="125" t="s">
        <v>6</v>
      </c>
      <c r="C60" s="125" t="s">
        <v>6</v>
      </c>
      <c r="D60" s="125" t="s">
        <v>154</v>
      </c>
      <c r="E60" s="125" t="s">
        <v>195</v>
      </c>
      <c r="F60" s="125" t="s">
        <v>392</v>
      </c>
      <c r="G60" s="125"/>
      <c r="H60" s="125"/>
      <c r="I60" s="125"/>
      <c r="J60" s="125" t="s">
        <v>437</v>
      </c>
      <c r="K60" s="124" t="s">
        <v>367</v>
      </c>
      <c r="L60" s="125" t="s">
        <v>6</v>
      </c>
      <c r="M60" s="130"/>
      <c r="N60" s="130" t="s">
        <v>236</v>
      </c>
      <c r="O60" s="130" t="s">
        <v>208</v>
      </c>
      <c r="P60" s="125"/>
      <c r="Q60" s="126">
        <v>44979</v>
      </c>
      <c r="R60" s="126">
        <f t="shared" si="0"/>
        <v>45710</v>
      </c>
      <c r="S60" s="126">
        <v>45710</v>
      </c>
      <c r="T60" s="124">
        <v>1</v>
      </c>
      <c r="U60" s="124">
        <f t="shared" si="1"/>
        <v>12</v>
      </c>
      <c r="V60" s="126">
        <f t="shared" si="2"/>
        <v>46075</v>
      </c>
      <c r="W60" s="124">
        <f t="shared" ca="1" si="6"/>
        <v>-73</v>
      </c>
      <c r="X60" s="124">
        <f t="shared" ca="1" si="4"/>
        <v>3</v>
      </c>
      <c r="Y60" s="124" t="s">
        <v>293</v>
      </c>
      <c r="Z60" s="124" t="s">
        <v>253</v>
      </c>
      <c r="AA60" s="124" t="s">
        <v>412</v>
      </c>
      <c r="AB60" s="124">
        <v>1156356333</v>
      </c>
      <c r="AC60" s="124"/>
      <c r="AD60" s="134">
        <v>204325.17</v>
      </c>
      <c r="AE60" s="124" t="str">
        <f t="shared" ca="1" si="5"/>
        <v>منتهي</v>
      </c>
      <c r="AF60" s="131"/>
    </row>
    <row r="61" spans="1:32" s="67" customFormat="1" ht="20.149999999999999" customHeight="1">
      <c r="A61" s="129">
        <v>60</v>
      </c>
      <c r="B61" s="125" t="s">
        <v>6</v>
      </c>
      <c r="C61" s="125" t="s">
        <v>6</v>
      </c>
      <c r="D61" s="125" t="s">
        <v>152</v>
      </c>
      <c r="E61" s="125" t="s">
        <v>195</v>
      </c>
      <c r="F61" s="125" t="s">
        <v>393</v>
      </c>
      <c r="G61" s="125"/>
      <c r="H61" s="125"/>
      <c r="I61" s="125"/>
      <c r="J61" s="125" t="s">
        <v>435</v>
      </c>
      <c r="K61" s="124" t="s">
        <v>367</v>
      </c>
      <c r="L61" s="125" t="s">
        <v>6</v>
      </c>
      <c r="M61" s="130" t="s">
        <v>377</v>
      </c>
      <c r="N61" s="130" t="s">
        <v>241</v>
      </c>
      <c r="O61" s="130" t="s">
        <v>208</v>
      </c>
      <c r="P61" s="125"/>
      <c r="Q61" s="126">
        <v>44979</v>
      </c>
      <c r="R61" s="126">
        <f t="shared" si="0"/>
        <v>45710</v>
      </c>
      <c r="S61" s="126">
        <v>45710</v>
      </c>
      <c r="T61" s="124">
        <v>1</v>
      </c>
      <c r="U61" s="124">
        <f t="shared" si="1"/>
        <v>12</v>
      </c>
      <c r="V61" s="126">
        <f t="shared" si="2"/>
        <v>46075</v>
      </c>
      <c r="W61" s="124">
        <f t="shared" ca="1" si="6"/>
        <v>-73</v>
      </c>
      <c r="X61" s="124">
        <f t="shared" ca="1" si="4"/>
        <v>3</v>
      </c>
      <c r="Y61" s="124" t="s">
        <v>422</v>
      </c>
      <c r="Z61" s="124" t="s">
        <v>252</v>
      </c>
      <c r="AA61" s="124" t="s">
        <v>413</v>
      </c>
      <c r="AB61" s="124">
        <v>12017272389</v>
      </c>
      <c r="AC61" s="124"/>
      <c r="AD61" s="134">
        <v>227389.66</v>
      </c>
      <c r="AE61" s="124" t="str">
        <f t="shared" ca="1" si="5"/>
        <v>منتهي</v>
      </c>
      <c r="AF61" s="131"/>
    </row>
    <row r="62" spans="1:32" s="67" customFormat="1" ht="20.149999999999999" customHeight="1">
      <c r="A62" s="129">
        <v>61</v>
      </c>
      <c r="B62" s="125" t="s">
        <v>6</v>
      </c>
      <c r="C62" s="125" t="s">
        <v>6</v>
      </c>
      <c r="D62" s="125" t="s">
        <v>169</v>
      </c>
      <c r="E62" s="125" t="s">
        <v>197</v>
      </c>
      <c r="F62" s="125"/>
      <c r="G62" s="125"/>
      <c r="H62" s="125"/>
      <c r="I62" s="125"/>
      <c r="J62" s="125"/>
      <c r="K62" s="124" t="s">
        <v>367</v>
      </c>
      <c r="L62" s="125" t="s">
        <v>461</v>
      </c>
      <c r="M62" s="130"/>
      <c r="N62" s="130" t="s">
        <v>241</v>
      </c>
      <c r="O62" s="130" t="s">
        <v>208</v>
      </c>
      <c r="P62" s="125"/>
      <c r="Q62" s="126">
        <v>44986</v>
      </c>
      <c r="R62" s="126">
        <f t="shared" si="0"/>
        <v>45717</v>
      </c>
      <c r="S62" s="126">
        <v>45717</v>
      </c>
      <c r="T62" s="124">
        <v>1</v>
      </c>
      <c r="U62" s="124">
        <f t="shared" si="1"/>
        <v>12</v>
      </c>
      <c r="V62" s="126">
        <f t="shared" si="2"/>
        <v>46082</v>
      </c>
      <c r="W62" s="124">
        <f t="shared" ca="1" si="6"/>
        <v>-66</v>
      </c>
      <c r="X62" s="124">
        <f t="shared" ca="1" si="4"/>
        <v>3</v>
      </c>
      <c r="Y62" s="124" t="s">
        <v>293</v>
      </c>
      <c r="Z62" s="124" t="s">
        <v>253</v>
      </c>
      <c r="AA62" s="124" t="s">
        <v>412</v>
      </c>
      <c r="AB62" s="124">
        <v>12034846622</v>
      </c>
      <c r="AC62" s="124"/>
      <c r="AD62" s="134"/>
      <c r="AE62" s="124" t="str">
        <f t="shared" ca="1" si="5"/>
        <v>منتهي</v>
      </c>
      <c r="AF62" s="131"/>
    </row>
    <row r="63" spans="1:32" s="67" customFormat="1" ht="20.149999999999999" customHeight="1">
      <c r="A63" s="129">
        <v>62</v>
      </c>
      <c r="B63" s="125" t="s">
        <v>6</v>
      </c>
      <c r="C63" s="125" t="s">
        <v>6</v>
      </c>
      <c r="D63" s="125" t="s">
        <v>174</v>
      </c>
      <c r="E63" s="125" t="s">
        <v>197</v>
      </c>
      <c r="F63" s="125" t="s">
        <v>389</v>
      </c>
      <c r="G63" s="125"/>
      <c r="H63" s="125"/>
      <c r="I63" s="125"/>
      <c r="J63" s="125" t="s">
        <v>436</v>
      </c>
      <c r="K63" s="124" t="s">
        <v>367</v>
      </c>
      <c r="L63" s="125" t="s">
        <v>479</v>
      </c>
      <c r="M63" s="130"/>
      <c r="N63" s="130" t="s">
        <v>241</v>
      </c>
      <c r="O63" s="130" t="s">
        <v>208</v>
      </c>
      <c r="P63" s="125"/>
      <c r="Q63" s="126">
        <v>44986</v>
      </c>
      <c r="R63" s="126">
        <f t="shared" si="0"/>
        <v>45717</v>
      </c>
      <c r="S63" s="126">
        <v>45717</v>
      </c>
      <c r="T63" s="124">
        <v>1</v>
      </c>
      <c r="U63" s="124">
        <f t="shared" si="1"/>
        <v>12</v>
      </c>
      <c r="V63" s="126">
        <f t="shared" si="2"/>
        <v>46082</v>
      </c>
      <c r="W63" s="124">
        <f t="shared" ca="1" si="6"/>
        <v>-66</v>
      </c>
      <c r="X63" s="124">
        <f t="shared" ca="1" si="4"/>
        <v>3</v>
      </c>
      <c r="Y63" s="124" t="s">
        <v>293</v>
      </c>
      <c r="Z63" s="124" t="s">
        <v>253</v>
      </c>
      <c r="AA63" s="124" t="s">
        <v>412</v>
      </c>
      <c r="AB63" s="124">
        <v>12041513742</v>
      </c>
      <c r="AC63" s="124"/>
      <c r="AD63" s="134"/>
      <c r="AE63" s="124" t="str">
        <f t="shared" ca="1" si="5"/>
        <v>منتهي</v>
      </c>
      <c r="AF63" s="131"/>
    </row>
    <row r="64" spans="1:32" s="67" customFormat="1" ht="20.149999999999999" customHeight="1">
      <c r="A64" s="129">
        <v>63</v>
      </c>
      <c r="B64" s="125" t="s">
        <v>6</v>
      </c>
      <c r="C64" s="125" t="s">
        <v>6</v>
      </c>
      <c r="D64" s="125" t="s">
        <v>400</v>
      </c>
      <c r="E64" s="125" t="s">
        <v>197</v>
      </c>
      <c r="F64" s="125" t="s">
        <v>389</v>
      </c>
      <c r="G64" s="125"/>
      <c r="H64" s="125"/>
      <c r="I64" s="125"/>
      <c r="J64" s="125" t="s">
        <v>435</v>
      </c>
      <c r="K64" s="124" t="s">
        <v>367</v>
      </c>
      <c r="L64" s="125" t="s">
        <v>461</v>
      </c>
      <c r="M64" s="130"/>
      <c r="N64" s="130" t="s">
        <v>234</v>
      </c>
      <c r="O64" s="130" t="s">
        <v>208</v>
      </c>
      <c r="P64" s="125"/>
      <c r="Q64" s="126">
        <v>44986</v>
      </c>
      <c r="R64" s="126">
        <f t="shared" si="0"/>
        <v>45717</v>
      </c>
      <c r="S64" s="126">
        <v>45717</v>
      </c>
      <c r="T64" s="124">
        <v>1</v>
      </c>
      <c r="U64" s="124">
        <f t="shared" si="1"/>
        <v>12</v>
      </c>
      <c r="V64" s="126">
        <f t="shared" si="2"/>
        <v>46082</v>
      </c>
      <c r="W64" s="124">
        <f t="shared" ca="1" si="6"/>
        <v>-66</v>
      </c>
      <c r="X64" s="124">
        <f t="shared" ca="1" si="4"/>
        <v>3</v>
      </c>
      <c r="Y64" s="124" t="s">
        <v>296</v>
      </c>
      <c r="Z64" s="124" t="s">
        <v>252</v>
      </c>
      <c r="AA64" s="124" t="s">
        <v>413</v>
      </c>
      <c r="AB64" s="124">
        <v>11281889589</v>
      </c>
      <c r="AC64" s="124"/>
      <c r="AD64" s="134"/>
      <c r="AE64" s="124" t="str">
        <f t="shared" ca="1" si="5"/>
        <v>منتهي</v>
      </c>
      <c r="AF64" s="131"/>
    </row>
    <row r="65" spans="1:32" s="67" customFormat="1" ht="20.149999999999999" customHeight="1">
      <c r="A65" s="129">
        <v>64</v>
      </c>
      <c r="B65" s="125" t="s">
        <v>6</v>
      </c>
      <c r="C65" s="125" t="s">
        <v>6</v>
      </c>
      <c r="D65" s="125" t="s">
        <v>166</v>
      </c>
      <c r="E65" s="125" t="s">
        <v>197</v>
      </c>
      <c r="F65" s="125" t="s">
        <v>389</v>
      </c>
      <c r="G65" s="125"/>
      <c r="H65" s="125"/>
      <c r="I65" s="125"/>
      <c r="J65" s="125" t="s">
        <v>438</v>
      </c>
      <c r="K65" s="124" t="s">
        <v>367</v>
      </c>
      <c r="L65" s="125" t="s">
        <v>461</v>
      </c>
      <c r="M65" s="130"/>
      <c r="N65" s="130" t="s">
        <v>241</v>
      </c>
      <c r="O65" s="130" t="s">
        <v>208</v>
      </c>
      <c r="P65" s="125"/>
      <c r="Q65" s="126">
        <v>44986</v>
      </c>
      <c r="R65" s="126">
        <f t="shared" si="0"/>
        <v>45717</v>
      </c>
      <c r="S65" s="126">
        <v>45717</v>
      </c>
      <c r="T65" s="124">
        <v>1</v>
      </c>
      <c r="U65" s="124">
        <f t="shared" si="1"/>
        <v>12</v>
      </c>
      <c r="V65" s="126">
        <f t="shared" si="2"/>
        <v>46082</v>
      </c>
      <c r="W65" s="124">
        <f t="shared" ca="1" si="6"/>
        <v>-66</v>
      </c>
      <c r="X65" s="124">
        <f t="shared" ca="1" si="4"/>
        <v>3</v>
      </c>
      <c r="Y65" s="124" t="s">
        <v>293</v>
      </c>
      <c r="Z65" s="124" t="s">
        <v>253</v>
      </c>
      <c r="AA65" s="124" t="s">
        <v>413</v>
      </c>
      <c r="AB65" s="124">
        <v>19432394340</v>
      </c>
      <c r="AC65" s="124"/>
      <c r="AD65" s="134">
        <v>142745.10999999999</v>
      </c>
      <c r="AE65" s="124" t="str">
        <f t="shared" ca="1" si="5"/>
        <v>منتهي</v>
      </c>
      <c r="AF65" s="131"/>
    </row>
    <row r="66" spans="1:32" s="67" customFormat="1" ht="20.149999999999999" customHeight="1">
      <c r="A66" s="129">
        <v>65</v>
      </c>
      <c r="B66" s="125" t="s">
        <v>6</v>
      </c>
      <c r="C66" s="125" t="s">
        <v>6</v>
      </c>
      <c r="D66" s="125" t="s">
        <v>158</v>
      </c>
      <c r="E66" s="125" t="s">
        <v>197</v>
      </c>
      <c r="F66" s="125" t="s">
        <v>386</v>
      </c>
      <c r="G66" s="125"/>
      <c r="H66" s="125"/>
      <c r="I66" s="125"/>
      <c r="J66" s="125" t="s">
        <v>458</v>
      </c>
      <c r="K66" s="124" t="s">
        <v>367</v>
      </c>
      <c r="L66" s="125" t="s">
        <v>461</v>
      </c>
      <c r="M66" s="125"/>
      <c r="N66" s="130" t="s">
        <v>241</v>
      </c>
      <c r="O66" s="130" t="s">
        <v>208</v>
      </c>
      <c r="P66" s="125"/>
      <c r="Q66" s="126">
        <v>44986</v>
      </c>
      <c r="R66" s="126">
        <f t="shared" si="0"/>
        <v>45717</v>
      </c>
      <c r="S66" s="126">
        <v>45717</v>
      </c>
      <c r="T66" s="124">
        <v>1</v>
      </c>
      <c r="U66" s="124">
        <f t="shared" si="1"/>
        <v>12</v>
      </c>
      <c r="V66" s="126">
        <f t="shared" si="2"/>
        <v>46082</v>
      </c>
      <c r="W66" s="124">
        <f t="shared" ca="1" si="6"/>
        <v>-66</v>
      </c>
      <c r="X66" s="124">
        <f t="shared" ca="1" si="4"/>
        <v>3</v>
      </c>
      <c r="Y66" s="124" t="s">
        <v>293</v>
      </c>
      <c r="Z66" s="124" t="s">
        <v>253</v>
      </c>
      <c r="AA66" s="124" t="s">
        <v>412</v>
      </c>
      <c r="AB66" s="124">
        <v>10200101761</v>
      </c>
      <c r="AC66" s="124"/>
      <c r="AD66" s="134"/>
      <c r="AE66" s="124" t="str">
        <f t="shared" ca="1" si="5"/>
        <v>منتهي</v>
      </c>
      <c r="AF66" s="131"/>
    </row>
    <row r="67" spans="1:32" s="67" customFormat="1" ht="20.149999999999999" customHeight="1">
      <c r="A67" s="129">
        <v>66</v>
      </c>
      <c r="B67" s="125" t="s">
        <v>6</v>
      </c>
      <c r="C67" s="125" t="s">
        <v>6</v>
      </c>
      <c r="D67" s="125" t="s">
        <v>157</v>
      </c>
      <c r="E67" s="125" t="s">
        <v>197</v>
      </c>
      <c r="F67" s="125" t="s">
        <v>386</v>
      </c>
      <c r="G67" s="125"/>
      <c r="H67" s="125"/>
      <c r="I67" s="125"/>
      <c r="J67" s="125" t="s">
        <v>442</v>
      </c>
      <c r="K67" s="124" t="s">
        <v>367</v>
      </c>
      <c r="L67" s="125" t="s">
        <v>461</v>
      </c>
      <c r="M67" s="130"/>
      <c r="N67" s="130" t="s">
        <v>241</v>
      </c>
      <c r="O67" s="130" t="s">
        <v>208</v>
      </c>
      <c r="P67" s="125"/>
      <c r="Q67" s="126">
        <v>44986</v>
      </c>
      <c r="R67" s="126">
        <f t="shared" ref="R67:R121" si="7">EDATE(Q67, 24)</f>
        <v>45717</v>
      </c>
      <c r="S67" s="126">
        <v>45717</v>
      </c>
      <c r="T67" s="124">
        <v>1</v>
      </c>
      <c r="U67" s="124">
        <f t="shared" ref="U67:U129" si="8">T67*12</f>
        <v>12</v>
      </c>
      <c r="V67" s="126">
        <f t="shared" ref="V67:V125" si="9">EDATE(S67,U67)</f>
        <v>46082</v>
      </c>
      <c r="W67" s="124">
        <f t="shared" ca="1" si="6"/>
        <v>-66</v>
      </c>
      <c r="X67" s="124">
        <f t="shared" ref="X67:X129" ca="1" si="10">DATEDIF(Q67, TODAY(), "Y")</f>
        <v>3</v>
      </c>
      <c r="Y67" s="124" t="s">
        <v>293</v>
      </c>
      <c r="Z67" s="124" t="s">
        <v>253</v>
      </c>
      <c r="AA67" s="124" t="s">
        <v>413</v>
      </c>
      <c r="AB67" s="124">
        <v>12080415268</v>
      </c>
      <c r="AC67" s="124"/>
      <c r="AD67" s="134"/>
      <c r="AE67" s="124" t="str">
        <f t="shared" ref="AE67:AE129" ca="1" si="11">IF(V67&lt;TODAY(),"منتهي",IF(V67-TODAY()&gt;=30,"ساري","ينتهي قريباً"))</f>
        <v>منتهي</v>
      </c>
      <c r="AF67" s="131"/>
    </row>
    <row r="68" spans="1:32" s="67" customFormat="1" ht="20.149999999999999" customHeight="1">
      <c r="A68" s="129">
        <v>67</v>
      </c>
      <c r="B68" s="125" t="s">
        <v>6</v>
      </c>
      <c r="C68" s="125" t="s">
        <v>6</v>
      </c>
      <c r="D68" s="125" t="s">
        <v>171</v>
      </c>
      <c r="E68" s="125" t="s">
        <v>197</v>
      </c>
      <c r="F68" s="125"/>
      <c r="G68" s="125"/>
      <c r="H68" s="125"/>
      <c r="I68" s="125"/>
      <c r="J68" s="125"/>
      <c r="K68" s="124" t="s">
        <v>367</v>
      </c>
      <c r="L68" s="125" t="s">
        <v>479</v>
      </c>
      <c r="M68" s="130"/>
      <c r="N68" s="130" t="s">
        <v>241</v>
      </c>
      <c r="O68" s="130" t="s">
        <v>208</v>
      </c>
      <c r="P68" s="125"/>
      <c r="Q68" s="126">
        <v>44986</v>
      </c>
      <c r="R68" s="126">
        <f t="shared" si="7"/>
        <v>45717</v>
      </c>
      <c r="S68" s="126">
        <v>45717</v>
      </c>
      <c r="T68" s="124">
        <v>1</v>
      </c>
      <c r="U68" s="124">
        <f t="shared" si="8"/>
        <v>12</v>
      </c>
      <c r="V68" s="126">
        <f t="shared" si="9"/>
        <v>46082</v>
      </c>
      <c r="W68" s="124">
        <f t="shared" ca="1" si="6"/>
        <v>-66</v>
      </c>
      <c r="X68" s="124">
        <f t="shared" ca="1" si="10"/>
        <v>3</v>
      </c>
      <c r="Y68" s="124" t="s">
        <v>293</v>
      </c>
      <c r="Z68" s="124" t="s">
        <v>253</v>
      </c>
      <c r="AA68" s="124" t="s">
        <v>412</v>
      </c>
      <c r="AB68" s="124"/>
      <c r="AC68" s="124"/>
      <c r="AD68" s="134"/>
      <c r="AE68" s="124" t="str">
        <f t="shared" ca="1" si="11"/>
        <v>منتهي</v>
      </c>
      <c r="AF68" s="131"/>
    </row>
    <row r="69" spans="1:32" s="67" customFormat="1" ht="20.149999999999999" customHeight="1">
      <c r="A69" s="129">
        <v>68</v>
      </c>
      <c r="B69" s="125" t="s">
        <v>6</v>
      </c>
      <c r="C69" s="125" t="s">
        <v>6</v>
      </c>
      <c r="D69" s="125" t="s">
        <v>161</v>
      </c>
      <c r="E69" s="125" t="s">
        <v>197</v>
      </c>
      <c r="F69" s="125"/>
      <c r="G69" s="125"/>
      <c r="H69" s="125"/>
      <c r="I69" s="125"/>
      <c r="J69" s="125"/>
      <c r="K69" s="124" t="s">
        <v>368</v>
      </c>
      <c r="L69" s="125" t="s">
        <v>479</v>
      </c>
      <c r="M69" s="130"/>
      <c r="N69" s="130" t="s">
        <v>241</v>
      </c>
      <c r="O69" s="130" t="s">
        <v>208</v>
      </c>
      <c r="P69" s="125"/>
      <c r="Q69" s="126">
        <v>44986</v>
      </c>
      <c r="R69" s="126">
        <f t="shared" si="7"/>
        <v>45717</v>
      </c>
      <c r="S69" s="126">
        <v>45717</v>
      </c>
      <c r="T69" s="124">
        <v>1</v>
      </c>
      <c r="U69" s="124">
        <f t="shared" si="8"/>
        <v>12</v>
      </c>
      <c r="V69" s="126">
        <f t="shared" si="9"/>
        <v>46082</v>
      </c>
      <c r="W69" s="124">
        <f t="shared" ca="1" si="6"/>
        <v>-66</v>
      </c>
      <c r="X69" s="124">
        <f t="shared" ca="1" si="10"/>
        <v>3</v>
      </c>
      <c r="Y69" s="124" t="s">
        <v>293</v>
      </c>
      <c r="Z69" s="124" t="s">
        <v>253</v>
      </c>
      <c r="AA69" s="124" t="s">
        <v>412</v>
      </c>
      <c r="AB69" s="124"/>
      <c r="AC69" s="124"/>
      <c r="AD69" s="134"/>
      <c r="AE69" s="124" t="str">
        <f t="shared" ca="1" si="11"/>
        <v>منتهي</v>
      </c>
      <c r="AF69" s="131"/>
    </row>
    <row r="70" spans="1:32" s="67" customFormat="1" ht="20.149999999999999" customHeight="1">
      <c r="A70" s="129">
        <v>69</v>
      </c>
      <c r="B70" s="125" t="s">
        <v>6</v>
      </c>
      <c r="C70" s="125" t="s">
        <v>6</v>
      </c>
      <c r="D70" s="125" t="s">
        <v>175</v>
      </c>
      <c r="E70" s="125" t="s">
        <v>197</v>
      </c>
      <c r="F70" s="125" t="s">
        <v>389</v>
      </c>
      <c r="G70" s="125"/>
      <c r="H70" s="125"/>
      <c r="I70" s="125"/>
      <c r="J70" s="125" t="s">
        <v>457</v>
      </c>
      <c r="K70" s="124" t="s">
        <v>367</v>
      </c>
      <c r="L70" s="125" t="s">
        <v>6</v>
      </c>
      <c r="M70" s="130"/>
      <c r="N70" s="130" t="s">
        <v>241</v>
      </c>
      <c r="O70" s="130" t="s">
        <v>208</v>
      </c>
      <c r="P70" s="125"/>
      <c r="Q70" s="126">
        <v>44986</v>
      </c>
      <c r="R70" s="126">
        <f t="shared" si="7"/>
        <v>45717</v>
      </c>
      <c r="S70" s="126">
        <v>45717</v>
      </c>
      <c r="T70" s="124">
        <v>1</v>
      </c>
      <c r="U70" s="124">
        <f t="shared" si="8"/>
        <v>12</v>
      </c>
      <c r="V70" s="126">
        <f t="shared" si="9"/>
        <v>46082</v>
      </c>
      <c r="W70" s="124">
        <f t="shared" ca="1" si="6"/>
        <v>-66</v>
      </c>
      <c r="X70" s="124">
        <f t="shared" ca="1" si="10"/>
        <v>3</v>
      </c>
      <c r="Y70" s="124" t="s">
        <v>293</v>
      </c>
      <c r="Z70" s="124" t="s">
        <v>253</v>
      </c>
      <c r="AA70" s="124" t="s">
        <v>412</v>
      </c>
      <c r="AB70" s="124"/>
      <c r="AC70" s="124"/>
      <c r="AD70" s="134"/>
      <c r="AE70" s="124" t="str">
        <f t="shared" ca="1" si="11"/>
        <v>منتهي</v>
      </c>
      <c r="AF70" s="131"/>
    </row>
    <row r="71" spans="1:32" s="67" customFormat="1" ht="20.149999999999999" customHeight="1">
      <c r="A71" s="129">
        <v>70</v>
      </c>
      <c r="B71" s="125" t="s">
        <v>6</v>
      </c>
      <c r="C71" s="125" t="s">
        <v>6</v>
      </c>
      <c r="D71" s="125" t="s">
        <v>170</v>
      </c>
      <c r="E71" s="125" t="s">
        <v>197</v>
      </c>
      <c r="F71" s="125" t="s">
        <v>389</v>
      </c>
      <c r="G71" s="125"/>
      <c r="H71" s="125"/>
      <c r="I71" s="125"/>
      <c r="J71" s="125" t="s">
        <v>448</v>
      </c>
      <c r="K71" s="124" t="s">
        <v>367</v>
      </c>
      <c r="L71" s="125" t="s">
        <v>479</v>
      </c>
      <c r="M71" s="130"/>
      <c r="N71" s="130" t="s">
        <v>241</v>
      </c>
      <c r="O71" s="130" t="s">
        <v>208</v>
      </c>
      <c r="P71" s="125"/>
      <c r="Q71" s="126">
        <v>44986</v>
      </c>
      <c r="R71" s="126">
        <f t="shared" si="7"/>
        <v>45717</v>
      </c>
      <c r="S71" s="126">
        <v>45717</v>
      </c>
      <c r="T71" s="124">
        <v>1</v>
      </c>
      <c r="U71" s="124">
        <f t="shared" si="8"/>
        <v>12</v>
      </c>
      <c r="V71" s="126">
        <f t="shared" si="9"/>
        <v>46082</v>
      </c>
      <c r="W71" s="124">
        <f t="shared" ca="1" si="6"/>
        <v>-66</v>
      </c>
      <c r="X71" s="124">
        <f t="shared" ca="1" si="10"/>
        <v>3</v>
      </c>
      <c r="Y71" s="124" t="s">
        <v>293</v>
      </c>
      <c r="Z71" s="124" t="s">
        <v>253</v>
      </c>
      <c r="AA71" s="124" t="s">
        <v>412</v>
      </c>
      <c r="AB71" s="124"/>
      <c r="AC71" s="124"/>
      <c r="AD71" s="134"/>
      <c r="AE71" s="124" t="str">
        <f t="shared" ca="1" si="11"/>
        <v>منتهي</v>
      </c>
      <c r="AF71" s="131"/>
    </row>
    <row r="72" spans="1:32" s="67" customFormat="1" ht="20.149999999999999" customHeight="1">
      <c r="A72" s="129">
        <v>71</v>
      </c>
      <c r="B72" s="125" t="s">
        <v>6</v>
      </c>
      <c r="C72" s="125" t="s">
        <v>6</v>
      </c>
      <c r="D72" s="125" t="s">
        <v>163</v>
      </c>
      <c r="E72" s="125" t="s">
        <v>201</v>
      </c>
      <c r="F72" s="125" t="s">
        <v>524</v>
      </c>
      <c r="G72" s="125"/>
      <c r="H72" s="125"/>
      <c r="I72" s="125"/>
      <c r="J72" s="125" t="s">
        <v>440</v>
      </c>
      <c r="K72" s="124" t="s">
        <v>367</v>
      </c>
      <c r="L72" s="125" t="s">
        <v>479</v>
      </c>
      <c r="M72" s="130"/>
      <c r="N72" s="130" t="s">
        <v>241</v>
      </c>
      <c r="O72" s="130" t="s">
        <v>208</v>
      </c>
      <c r="P72" s="125"/>
      <c r="Q72" s="126">
        <v>44986</v>
      </c>
      <c r="R72" s="126">
        <f t="shared" si="7"/>
        <v>45717</v>
      </c>
      <c r="S72" s="126">
        <v>45717</v>
      </c>
      <c r="T72" s="124">
        <v>1</v>
      </c>
      <c r="U72" s="124">
        <f t="shared" si="8"/>
        <v>12</v>
      </c>
      <c r="V72" s="126">
        <f t="shared" si="9"/>
        <v>46082</v>
      </c>
      <c r="W72" s="124">
        <f t="shared" ca="1" si="6"/>
        <v>-66</v>
      </c>
      <c r="X72" s="124">
        <f t="shared" ca="1" si="10"/>
        <v>3</v>
      </c>
      <c r="Y72" s="124" t="s">
        <v>296</v>
      </c>
      <c r="Z72" s="124" t="s">
        <v>252</v>
      </c>
      <c r="AA72" s="124" t="s">
        <v>413</v>
      </c>
      <c r="AB72" s="124">
        <v>11925026645</v>
      </c>
      <c r="AC72" s="124"/>
      <c r="AD72" s="134">
        <v>153173.96</v>
      </c>
      <c r="AE72" s="124" t="str">
        <f t="shared" ca="1" si="11"/>
        <v>منتهي</v>
      </c>
      <c r="AF72" s="131"/>
    </row>
    <row r="73" spans="1:32" s="67" customFormat="1" ht="20.149999999999999" customHeight="1">
      <c r="A73" s="129">
        <v>72</v>
      </c>
      <c r="B73" s="125" t="s">
        <v>6</v>
      </c>
      <c r="C73" s="125" t="s">
        <v>6</v>
      </c>
      <c r="D73" s="125" t="s">
        <v>162</v>
      </c>
      <c r="E73" s="125" t="s">
        <v>197</v>
      </c>
      <c r="F73" s="125"/>
      <c r="G73" s="125"/>
      <c r="H73" s="125"/>
      <c r="I73" s="125"/>
      <c r="J73" s="125" t="s">
        <v>438</v>
      </c>
      <c r="K73" s="124" t="s">
        <v>367</v>
      </c>
      <c r="L73" s="125" t="s">
        <v>479</v>
      </c>
      <c r="M73" s="125"/>
      <c r="N73" s="130" t="s">
        <v>234</v>
      </c>
      <c r="O73" s="130" t="s">
        <v>208</v>
      </c>
      <c r="P73" s="125"/>
      <c r="Q73" s="126">
        <v>44986</v>
      </c>
      <c r="R73" s="126">
        <f t="shared" si="7"/>
        <v>45717</v>
      </c>
      <c r="S73" s="126">
        <v>45717</v>
      </c>
      <c r="T73" s="124">
        <v>1</v>
      </c>
      <c r="U73" s="124">
        <f t="shared" si="8"/>
        <v>12</v>
      </c>
      <c r="V73" s="126">
        <f t="shared" si="9"/>
        <v>46082</v>
      </c>
      <c r="W73" s="124">
        <f t="shared" ca="1" si="6"/>
        <v>-66</v>
      </c>
      <c r="X73" s="124">
        <f t="shared" ca="1" si="10"/>
        <v>3</v>
      </c>
      <c r="Y73" s="124" t="s">
        <v>422</v>
      </c>
      <c r="Z73" s="124" t="s">
        <v>252</v>
      </c>
      <c r="AA73" s="124" t="s">
        <v>413</v>
      </c>
      <c r="AB73" s="124">
        <v>11531698492</v>
      </c>
      <c r="AC73" s="124"/>
      <c r="AD73" s="134"/>
      <c r="AE73" s="124" t="str">
        <f t="shared" ca="1" si="11"/>
        <v>منتهي</v>
      </c>
      <c r="AF73" s="131"/>
    </row>
    <row r="74" spans="1:32" s="67" customFormat="1" ht="20.149999999999999" customHeight="1">
      <c r="A74" s="129">
        <v>73</v>
      </c>
      <c r="B74" s="125" t="s">
        <v>6</v>
      </c>
      <c r="C74" s="125" t="s">
        <v>6</v>
      </c>
      <c r="D74" s="125" t="s">
        <v>176</v>
      </c>
      <c r="E74" s="125" t="s">
        <v>195</v>
      </c>
      <c r="F74" s="125" t="s">
        <v>393</v>
      </c>
      <c r="G74" s="125"/>
      <c r="H74" s="125"/>
      <c r="I74" s="125"/>
      <c r="J74" s="125" t="s">
        <v>448</v>
      </c>
      <c r="K74" s="124" t="s">
        <v>367</v>
      </c>
      <c r="L74" s="125" t="s">
        <v>6</v>
      </c>
      <c r="M74" s="130" t="s">
        <v>378</v>
      </c>
      <c r="N74" s="130" t="s">
        <v>241</v>
      </c>
      <c r="O74" s="130" t="s">
        <v>208</v>
      </c>
      <c r="P74" s="125"/>
      <c r="Q74" s="126">
        <v>44992</v>
      </c>
      <c r="R74" s="126">
        <f t="shared" si="7"/>
        <v>45723</v>
      </c>
      <c r="S74" s="126">
        <v>45723</v>
      </c>
      <c r="T74" s="124">
        <v>1</v>
      </c>
      <c r="U74" s="124">
        <f t="shared" si="8"/>
        <v>12</v>
      </c>
      <c r="V74" s="126">
        <f t="shared" si="9"/>
        <v>46088</v>
      </c>
      <c r="W74" s="124">
        <f t="shared" ca="1" si="6"/>
        <v>-60</v>
      </c>
      <c r="X74" s="124">
        <f t="shared" ca="1" si="10"/>
        <v>3</v>
      </c>
      <c r="Y74" s="124" t="s">
        <v>422</v>
      </c>
      <c r="Z74" s="124" t="s">
        <v>252</v>
      </c>
      <c r="AA74" s="124" t="s">
        <v>413</v>
      </c>
      <c r="AB74" s="124"/>
      <c r="AC74" s="124"/>
      <c r="AD74" s="134">
        <v>161109.76000000001</v>
      </c>
      <c r="AE74" s="124" t="str">
        <f t="shared" ca="1" si="11"/>
        <v>منتهي</v>
      </c>
      <c r="AF74" s="131"/>
    </row>
    <row r="75" spans="1:32" s="67" customFormat="1" ht="20.149999999999999" customHeight="1">
      <c r="A75" s="129">
        <v>74</v>
      </c>
      <c r="B75" s="125" t="s">
        <v>6</v>
      </c>
      <c r="C75" s="125" t="s">
        <v>6</v>
      </c>
      <c r="D75" s="125" t="s">
        <v>177</v>
      </c>
      <c r="E75" s="125" t="s">
        <v>195</v>
      </c>
      <c r="F75" s="125" t="s">
        <v>393</v>
      </c>
      <c r="G75" s="125"/>
      <c r="H75" s="125"/>
      <c r="I75" s="125"/>
      <c r="J75" s="125" t="s">
        <v>448</v>
      </c>
      <c r="K75" s="124" t="s">
        <v>367</v>
      </c>
      <c r="L75" s="125" t="s">
        <v>6</v>
      </c>
      <c r="M75" s="130" t="s">
        <v>338</v>
      </c>
      <c r="N75" s="130" t="s">
        <v>234</v>
      </c>
      <c r="O75" s="130" t="s">
        <v>208</v>
      </c>
      <c r="P75" s="125"/>
      <c r="Q75" s="126">
        <v>44992</v>
      </c>
      <c r="R75" s="126">
        <f t="shared" si="7"/>
        <v>45723</v>
      </c>
      <c r="S75" s="126">
        <v>45723</v>
      </c>
      <c r="T75" s="124">
        <v>1</v>
      </c>
      <c r="U75" s="124">
        <f t="shared" si="8"/>
        <v>12</v>
      </c>
      <c r="V75" s="126">
        <f t="shared" si="9"/>
        <v>46088</v>
      </c>
      <c r="W75" s="124">
        <f t="shared" ca="1" si="6"/>
        <v>-60</v>
      </c>
      <c r="X75" s="124">
        <f t="shared" ca="1" si="10"/>
        <v>3</v>
      </c>
      <c r="Y75" s="124" t="s">
        <v>293</v>
      </c>
      <c r="Z75" s="124" t="s">
        <v>253</v>
      </c>
      <c r="AA75" s="124" t="s">
        <v>413</v>
      </c>
      <c r="AB75" s="124"/>
      <c r="AC75" s="124"/>
      <c r="AD75" s="134">
        <v>161109.76000000001</v>
      </c>
      <c r="AE75" s="124" t="str">
        <f t="shared" ca="1" si="11"/>
        <v>منتهي</v>
      </c>
      <c r="AF75" s="131"/>
    </row>
    <row r="76" spans="1:32" s="67" customFormat="1" ht="20.149999999999999" customHeight="1">
      <c r="A76" s="129">
        <v>75</v>
      </c>
      <c r="B76" s="125" t="s">
        <v>6</v>
      </c>
      <c r="C76" s="125" t="s">
        <v>6</v>
      </c>
      <c r="D76" s="125" t="s">
        <v>179</v>
      </c>
      <c r="E76" s="125" t="s">
        <v>195</v>
      </c>
      <c r="F76" s="125" t="s">
        <v>380</v>
      </c>
      <c r="G76" s="125"/>
      <c r="H76" s="125"/>
      <c r="I76" s="125"/>
      <c r="J76" s="125" t="s">
        <v>438</v>
      </c>
      <c r="K76" s="124" t="s">
        <v>367</v>
      </c>
      <c r="L76" s="125" t="s">
        <v>6</v>
      </c>
      <c r="M76" s="130"/>
      <c r="N76" s="130" t="s">
        <v>241</v>
      </c>
      <c r="O76" s="130" t="s">
        <v>208</v>
      </c>
      <c r="P76" s="125"/>
      <c r="Q76" s="126">
        <v>44993</v>
      </c>
      <c r="R76" s="126">
        <f t="shared" si="7"/>
        <v>45724</v>
      </c>
      <c r="S76" s="126">
        <v>45724</v>
      </c>
      <c r="T76" s="124">
        <v>1</v>
      </c>
      <c r="U76" s="124">
        <f t="shared" si="8"/>
        <v>12</v>
      </c>
      <c r="V76" s="126">
        <f t="shared" si="9"/>
        <v>46089</v>
      </c>
      <c r="W76" s="124">
        <f t="shared" ca="1" si="6"/>
        <v>-59</v>
      </c>
      <c r="X76" s="124">
        <f t="shared" ca="1" si="10"/>
        <v>3</v>
      </c>
      <c r="Y76" s="124" t="s">
        <v>293</v>
      </c>
      <c r="Z76" s="124" t="s">
        <v>253</v>
      </c>
      <c r="AA76" s="124" t="s">
        <v>412</v>
      </c>
      <c r="AB76" s="124">
        <v>11968397636</v>
      </c>
      <c r="AC76" s="124"/>
      <c r="AD76" s="134">
        <v>254089.73</v>
      </c>
      <c r="AE76" s="124" t="str">
        <f t="shared" ca="1" si="11"/>
        <v>منتهي</v>
      </c>
      <c r="AF76" s="131"/>
    </row>
    <row r="77" spans="1:32" s="67" customFormat="1" ht="20.149999999999999" customHeight="1">
      <c r="A77" s="129">
        <v>76</v>
      </c>
      <c r="B77" s="125" t="s">
        <v>6</v>
      </c>
      <c r="C77" s="125" t="s">
        <v>6</v>
      </c>
      <c r="D77" s="125" t="s">
        <v>178</v>
      </c>
      <c r="E77" s="125" t="s">
        <v>195</v>
      </c>
      <c r="F77" s="125" t="s">
        <v>380</v>
      </c>
      <c r="G77" s="125"/>
      <c r="H77" s="125"/>
      <c r="I77" s="125"/>
      <c r="J77" s="125" t="s">
        <v>435</v>
      </c>
      <c r="K77" s="124" t="s">
        <v>367</v>
      </c>
      <c r="L77" s="125" t="s">
        <v>6</v>
      </c>
      <c r="M77" s="130"/>
      <c r="N77" s="130" t="s">
        <v>241</v>
      </c>
      <c r="O77" s="130" t="s">
        <v>208</v>
      </c>
      <c r="P77" s="125"/>
      <c r="Q77" s="126">
        <v>44993</v>
      </c>
      <c r="R77" s="126">
        <f t="shared" si="7"/>
        <v>45724</v>
      </c>
      <c r="S77" s="126">
        <v>45724</v>
      </c>
      <c r="T77" s="124">
        <v>1</v>
      </c>
      <c r="U77" s="124">
        <f t="shared" si="8"/>
        <v>12</v>
      </c>
      <c r="V77" s="126">
        <f t="shared" si="9"/>
        <v>46089</v>
      </c>
      <c r="W77" s="124">
        <f t="shared" ref="W77:W129" ca="1" si="12">V77-TODAY()</f>
        <v>-59</v>
      </c>
      <c r="X77" s="124">
        <f t="shared" ca="1" si="10"/>
        <v>3</v>
      </c>
      <c r="Y77" s="124" t="s">
        <v>296</v>
      </c>
      <c r="Z77" s="124" t="s">
        <v>252</v>
      </c>
      <c r="AA77" s="124" t="s">
        <v>413</v>
      </c>
      <c r="AB77" s="124">
        <v>11292678353</v>
      </c>
      <c r="AC77" s="124"/>
      <c r="AD77" s="134">
        <v>232784.25</v>
      </c>
      <c r="AE77" s="124" t="str">
        <f t="shared" ca="1" si="11"/>
        <v>منتهي</v>
      </c>
      <c r="AF77" s="131"/>
    </row>
    <row r="78" spans="1:32" s="67" customFormat="1" ht="20.149999999999999" customHeight="1">
      <c r="A78" s="129">
        <v>77</v>
      </c>
      <c r="B78" s="125" t="s">
        <v>6</v>
      </c>
      <c r="C78" s="125" t="s">
        <v>6</v>
      </c>
      <c r="D78" s="125" t="s">
        <v>181</v>
      </c>
      <c r="E78" s="125" t="s">
        <v>198</v>
      </c>
      <c r="F78" s="125" t="s">
        <v>384</v>
      </c>
      <c r="G78" s="125"/>
      <c r="H78" s="125"/>
      <c r="I78" s="125"/>
      <c r="J78" s="125" t="s">
        <v>435</v>
      </c>
      <c r="K78" s="124" t="s">
        <v>367</v>
      </c>
      <c r="L78" s="125" t="s">
        <v>6</v>
      </c>
      <c r="M78" s="130"/>
      <c r="N78" s="130" t="s">
        <v>234</v>
      </c>
      <c r="O78" s="130" t="s">
        <v>208</v>
      </c>
      <c r="P78" s="125"/>
      <c r="Q78" s="126">
        <v>44997</v>
      </c>
      <c r="R78" s="126">
        <f t="shared" si="7"/>
        <v>45728</v>
      </c>
      <c r="S78" s="126">
        <v>45728</v>
      </c>
      <c r="T78" s="124">
        <v>1</v>
      </c>
      <c r="U78" s="124">
        <f t="shared" si="8"/>
        <v>12</v>
      </c>
      <c r="V78" s="126">
        <f t="shared" si="9"/>
        <v>46093</v>
      </c>
      <c r="W78" s="124">
        <f t="shared" ca="1" si="12"/>
        <v>-55</v>
      </c>
      <c r="X78" s="124">
        <f t="shared" ca="1" si="10"/>
        <v>3</v>
      </c>
      <c r="Y78" s="124" t="s">
        <v>293</v>
      </c>
      <c r="Z78" s="124" t="s">
        <v>253</v>
      </c>
      <c r="AA78" s="124" t="s">
        <v>413</v>
      </c>
      <c r="AB78" s="124">
        <v>17874838855</v>
      </c>
      <c r="AC78" s="124"/>
      <c r="AD78" s="134">
        <v>206749.69</v>
      </c>
      <c r="AE78" s="124" t="str">
        <f t="shared" ca="1" si="11"/>
        <v>منتهي</v>
      </c>
      <c r="AF78" s="131"/>
    </row>
    <row r="79" spans="1:32" s="67" customFormat="1" ht="20.149999999999999" customHeight="1">
      <c r="A79" s="129">
        <v>78</v>
      </c>
      <c r="B79" s="125" t="s">
        <v>6</v>
      </c>
      <c r="C79" s="125" t="s">
        <v>6</v>
      </c>
      <c r="D79" s="125" t="s">
        <v>180</v>
      </c>
      <c r="E79" s="125" t="s">
        <v>195</v>
      </c>
      <c r="F79" s="125" t="s">
        <v>392</v>
      </c>
      <c r="G79" s="125"/>
      <c r="H79" s="125"/>
      <c r="I79" s="125"/>
      <c r="J79" s="125" t="s">
        <v>448</v>
      </c>
      <c r="K79" s="124" t="s">
        <v>367</v>
      </c>
      <c r="L79" s="125" t="s">
        <v>6</v>
      </c>
      <c r="M79" s="130"/>
      <c r="N79" s="130" t="s">
        <v>241</v>
      </c>
      <c r="O79" s="130" t="s">
        <v>208</v>
      </c>
      <c r="P79" s="125"/>
      <c r="Q79" s="126">
        <v>44997</v>
      </c>
      <c r="R79" s="126">
        <f t="shared" si="7"/>
        <v>45728</v>
      </c>
      <c r="S79" s="126">
        <v>45728</v>
      </c>
      <c r="T79" s="124">
        <v>1</v>
      </c>
      <c r="U79" s="124">
        <f t="shared" si="8"/>
        <v>12</v>
      </c>
      <c r="V79" s="126">
        <f t="shared" si="9"/>
        <v>46093</v>
      </c>
      <c r="W79" s="124">
        <f t="shared" ca="1" si="12"/>
        <v>-55</v>
      </c>
      <c r="X79" s="124">
        <f t="shared" ca="1" si="10"/>
        <v>3</v>
      </c>
      <c r="Y79" s="124" t="s">
        <v>296</v>
      </c>
      <c r="Z79" s="124" t="s">
        <v>252</v>
      </c>
      <c r="AA79" s="124" t="s">
        <v>413</v>
      </c>
      <c r="AB79" s="124"/>
      <c r="AC79" s="124"/>
      <c r="AD79" s="134">
        <v>219323.49</v>
      </c>
      <c r="AE79" s="124" t="str">
        <f t="shared" ca="1" si="11"/>
        <v>منتهي</v>
      </c>
      <c r="AF79" s="131"/>
    </row>
    <row r="80" spans="1:32" s="67" customFormat="1" ht="20.149999999999999" customHeight="1">
      <c r="A80" s="129">
        <v>79</v>
      </c>
      <c r="B80" s="125" t="s">
        <v>6</v>
      </c>
      <c r="C80" s="125" t="s">
        <v>6</v>
      </c>
      <c r="D80" s="125" t="s">
        <v>185</v>
      </c>
      <c r="E80" s="125" t="s">
        <v>195</v>
      </c>
      <c r="F80" s="125" t="s">
        <v>393</v>
      </c>
      <c r="G80" s="125"/>
      <c r="H80" s="125"/>
      <c r="I80" s="125"/>
      <c r="J80" s="125" t="s">
        <v>439</v>
      </c>
      <c r="K80" s="124" t="s">
        <v>367</v>
      </c>
      <c r="L80" s="125" t="s">
        <v>6</v>
      </c>
      <c r="M80" s="130" t="s">
        <v>345</v>
      </c>
      <c r="N80" s="130" t="s">
        <v>234</v>
      </c>
      <c r="O80" s="130" t="s">
        <v>208</v>
      </c>
      <c r="P80" s="125"/>
      <c r="Q80" s="126">
        <v>45001</v>
      </c>
      <c r="R80" s="126">
        <f t="shared" si="7"/>
        <v>45732</v>
      </c>
      <c r="S80" s="126">
        <v>45732</v>
      </c>
      <c r="T80" s="124">
        <v>1</v>
      </c>
      <c r="U80" s="124">
        <f t="shared" si="8"/>
        <v>12</v>
      </c>
      <c r="V80" s="126">
        <f t="shared" si="9"/>
        <v>46097</v>
      </c>
      <c r="W80" s="124">
        <f t="shared" ca="1" si="12"/>
        <v>-51</v>
      </c>
      <c r="X80" s="124">
        <f t="shared" ca="1" si="10"/>
        <v>3</v>
      </c>
      <c r="Y80" s="124" t="s">
        <v>293</v>
      </c>
      <c r="Z80" s="124" t="s">
        <v>253</v>
      </c>
      <c r="AA80" s="124" t="s">
        <v>412</v>
      </c>
      <c r="AB80" s="124">
        <v>11995513391</v>
      </c>
      <c r="AC80" s="124"/>
      <c r="AD80" s="134">
        <v>161109.76000000001</v>
      </c>
      <c r="AE80" s="124" t="str">
        <f t="shared" ca="1" si="11"/>
        <v>منتهي</v>
      </c>
      <c r="AF80" s="131"/>
    </row>
    <row r="81" spans="1:16280" s="67" customFormat="1" ht="19.5" customHeight="1">
      <c r="A81" s="129">
        <v>80</v>
      </c>
      <c r="B81" s="125" t="s">
        <v>6</v>
      </c>
      <c r="C81" s="125" t="s">
        <v>6</v>
      </c>
      <c r="D81" s="125" t="s">
        <v>189</v>
      </c>
      <c r="E81" s="125" t="s">
        <v>198</v>
      </c>
      <c r="F81" s="125" t="s">
        <v>387</v>
      </c>
      <c r="G81" s="125"/>
      <c r="H81" s="125"/>
      <c r="I81" s="125"/>
      <c r="J81" s="125" t="s">
        <v>448</v>
      </c>
      <c r="K81" s="124" t="s">
        <v>367</v>
      </c>
      <c r="L81" s="125" t="s">
        <v>6</v>
      </c>
      <c r="M81" s="130"/>
      <c r="N81" s="130" t="s">
        <v>241</v>
      </c>
      <c r="O81" s="130" t="s">
        <v>208</v>
      </c>
      <c r="P81" s="125"/>
      <c r="Q81" s="126">
        <v>45025</v>
      </c>
      <c r="R81" s="126">
        <f t="shared" si="7"/>
        <v>45756</v>
      </c>
      <c r="S81" s="126">
        <v>45756</v>
      </c>
      <c r="T81" s="124">
        <v>1</v>
      </c>
      <c r="U81" s="124">
        <f t="shared" si="8"/>
        <v>12</v>
      </c>
      <c r="V81" s="126">
        <f t="shared" si="9"/>
        <v>46121</v>
      </c>
      <c r="W81" s="124">
        <f t="shared" ca="1" si="12"/>
        <v>-27</v>
      </c>
      <c r="X81" s="124">
        <f t="shared" ca="1" si="10"/>
        <v>3</v>
      </c>
      <c r="Y81" s="124" t="s">
        <v>293</v>
      </c>
      <c r="Z81" s="124" t="s">
        <v>253</v>
      </c>
      <c r="AA81" s="124" t="s">
        <v>412</v>
      </c>
      <c r="AB81" s="124">
        <v>20497831020</v>
      </c>
      <c r="AC81" s="124"/>
      <c r="AD81" s="134">
        <v>161109.76000000001</v>
      </c>
      <c r="AE81" s="124" t="str">
        <f t="shared" ca="1" si="11"/>
        <v>منتهي</v>
      </c>
      <c r="AF81" s="131"/>
    </row>
    <row r="82" spans="1:16280" s="67" customFormat="1" ht="19.5" customHeight="1">
      <c r="A82" s="129">
        <v>81</v>
      </c>
      <c r="B82" s="125" t="s">
        <v>6</v>
      </c>
      <c r="C82" s="125" t="s">
        <v>6</v>
      </c>
      <c r="D82" s="125" t="s">
        <v>217</v>
      </c>
      <c r="E82" s="125" t="s">
        <v>195</v>
      </c>
      <c r="F82" s="125"/>
      <c r="G82" s="125"/>
      <c r="H82" s="125"/>
      <c r="I82" s="125"/>
      <c r="J82" s="125" t="s">
        <v>454</v>
      </c>
      <c r="K82" s="124" t="s">
        <v>367</v>
      </c>
      <c r="L82" s="125" t="s">
        <v>6</v>
      </c>
      <c r="M82" s="130"/>
      <c r="N82" s="130" t="s">
        <v>241</v>
      </c>
      <c r="O82" s="130" t="s">
        <v>208</v>
      </c>
      <c r="P82" s="125"/>
      <c r="Q82" s="126">
        <v>45092</v>
      </c>
      <c r="R82" s="126">
        <f t="shared" si="7"/>
        <v>45823</v>
      </c>
      <c r="S82" s="126">
        <v>45823</v>
      </c>
      <c r="T82" s="124">
        <v>1</v>
      </c>
      <c r="U82" s="124">
        <f t="shared" si="8"/>
        <v>12</v>
      </c>
      <c r="V82" s="126">
        <f t="shared" si="9"/>
        <v>46188</v>
      </c>
      <c r="W82" s="124">
        <f t="shared" ca="1" si="12"/>
        <v>40</v>
      </c>
      <c r="X82" s="124">
        <f t="shared" ca="1" si="10"/>
        <v>2</v>
      </c>
      <c r="Y82" s="124" t="s">
        <v>296</v>
      </c>
      <c r="Z82" s="124" t="s">
        <v>252</v>
      </c>
      <c r="AA82" s="124" t="s">
        <v>413</v>
      </c>
      <c r="AB82" s="124">
        <v>12016530387</v>
      </c>
      <c r="AC82" s="124"/>
      <c r="AD82" s="134">
        <v>222000.36</v>
      </c>
      <c r="AE82" s="124" t="str">
        <f t="shared" ca="1" si="11"/>
        <v>ساري</v>
      </c>
      <c r="AF82" s="131"/>
    </row>
    <row r="83" spans="1:16280" s="67" customFormat="1" ht="20.149999999999999" customHeight="1">
      <c r="A83" s="129">
        <v>82</v>
      </c>
      <c r="B83" s="125" t="s">
        <v>6</v>
      </c>
      <c r="C83" s="125" t="s">
        <v>6</v>
      </c>
      <c r="D83" s="125" t="s">
        <v>216</v>
      </c>
      <c r="E83" s="125" t="s">
        <v>195</v>
      </c>
      <c r="F83" s="125" t="s">
        <v>393</v>
      </c>
      <c r="G83" s="125"/>
      <c r="H83" s="125"/>
      <c r="I83" s="125"/>
      <c r="J83" s="125" t="s">
        <v>445</v>
      </c>
      <c r="K83" s="124" t="s">
        <v>367</v>
      </c>
      <c r="L83" s="125" t="s">
        <v>6</v>
      </c>
      <c r="M83" s="130" t="s">
        <v>376</v>
      </c>
      <c r="N83" s="130" t="s">
        <v>241</v>
      </c>
      <c r="O83" s="130" t="s">
        <v>208</v>
      </c>
      <c r="P83" s="125"/>
      <c r="Q83" s="126">
        <v>45095</v>
      </c>
      <c r="R83" s="126">
        <f t="shared" si="7"/>
        <v>45826</v>
      </c>
      <c r="S83" s="126">
        <v>45826</v>
      </c>
      <c r="T83" s="124">
        <v>1</v>
      </c>
      <c r="U83" s="124">
        <f t="shared" si="8"/>
        <v>12</v>
      </c>
      <c r="V83" s="126">
        <f t="shared" si="9"/>
        <v>46191</v>
      </c>
      <c r="W83" s="124">
        <f t="shared" ca="1" si="12"/>
        <v>43</v>
      </c>
      <c r="X83" s="124">
        <f t="shared" ca="1" si="10"/>
        <v>2</v>
      </c>
      <c r="Y83" s="124" t="s">
        <v>422</v>
      </c>
      <c r="Z83" s="124" t="s">
        <v>252</v>
      </c>
      <c r="AA83" s="124" t="s">
        <v>413</v>
      </c>
      <c r="AB83" s="124"/>
      <c r="AC83" s="124"/>
      <c r="AD83" s="134">
        <v>182036.9</v>
      </c>
      <c r="AE83" s="124" t="str">
        <f t="shared" ca="1" si="11"/>
        <v>ساري</v>
      </c>
      <c r="AF83" s="131"/>
    </row>
    <row r="84" spans="1:16280" s="67" customFormat="1" ht="20.149999999999999" customHeight="1">
      <c r="A84" s="129">
        <v>83</v>
      </c>
      <c r="B84" s="125" t="s">
        <v>6</v>
      </c>
      <c r="C84" s="125" t="s">
        <v>6</v>
      </c>
      <c r="D84" s="125" t="s">
        <v>215</v>
      </c>
      <c r="E84" s="125" t="s">
        <v>195</v>
      </c>
      <c r="F84" s="125" t="s">
        <v>393</v>
      </c>
      <c r="G84" s="125"/>
      <c r="H84" s="125"/>
      <c r="I84" s="125"/>
      <c r="J84" s="125" t="s">
        <v>451</v>
      </c>
      <c r="K84" s="124" t="s">
        <v>367</v>
      </c>
      <c r="L84" s="125" t="s">
        <v>6</v>
      </c>
      <c r="M84" s="130" t="s">
        <v>345</v>
      </c>
      <c r="N84" s="130" t="s">
        <v>241</v>
      </c>
      <c r="O84" s="130" t="s">
        <v>208</v>
      </c>
      <c r="P84" s="125"/>
      <c r="Q84" s="126">
        <v>45095</v>
      </c>
      <c r="R84" s="126">
        <f t="shared" si="7"/>
        <v>45826</v>
      </c>
      <c r="S84" s="126">
        <v>45826</v>
      </c>
      <c r="T84" s="124">
        <v>1</v>
      </c>
      <c r="U84" s="124">
        <f t="shared" si="8"/>
        <v>12</v>
      </c>
      <c r="V84" s="126">
        <f t="shared" si="9"/>
        <v>46191</v>
      </c>
      <c r="W84" s="124">
        <f t="shared" ca="1" si="12"/>
        <v>43</v>
      </c>
      <c r="X84" s="124">
        <f t="shared" ca="1" si="10"/>
        <v>2</v>
      </c>
      <c r="Y84" s="124" t="s">
        <v>422</v>
      </c>
      <c r="Z84" s="124" t="s">
        <v>252</v>
      </c>
      <c r="AA84" s="124" t="s">
        <v>413</v>
      </c>
      <c r="AB84" s="124">
        <v>11478281799</v>
      </c>
      <c r="AC84" s="124"/>
      <c r="AD84" s="134">
        <v>211641.44</v>
      </c>
      <c r="AE84" s="124" t="str">
        <f t="shared" ca="1" si="11"/>
        <v>ساري</v>
      </c>
      <c r="AF84" s="131"/>
    </row>
    <row r="85" spans="1:16280" s="67" customFormat="1" ht="20.149999999999999" customHeight="1">
      <c r="A85" s="129">
        <v>84</v>
      </c>
      <c r="B85" s="125" t="s">
        <v>6</v>
      </c>
      <c r="C85" s="125" t="s">
        <v>6</v>
      </c>
      <c r="D85" s="125" t="s">
        <v>219</v>
      </c>
      <c r="E85" s="125" t="s">
        <v>194</v>
      </c>
      <c r="F85" s="125" t="s">
        <v>393</v>
      </c>
      <c r="G85" s="125"/>
      <c r="H85" s="125"/>
      <c r="I85" s="125"/>
      <c r="J85" s="125" t="s">
        <v>434</v>
      </c>
      <c r="K85" s="124" t="s">
        <v>367</v>
      </c>
      <c r="L85" s="125" t="s">
        <v>6</v>
      </c>
      <c r="M85" s="130" t="s">
        <v>344</v>
      </c>
      <c r="N85" s="130" t="s">
        <v>234</v>
      </c>
      <c r="O85" s="130" t="s">
        <v>208</v>
      </c>
      <c r="P85" s="125"/>
      <c r="Q85" s="126">
        <v>45153</v>
      </c>
      <c r="R85" s="126">
        <f t="shared" si="7"/>
        <v>45884</v>
      </c>
      <c r="S85" s="126">
        <v>45884</v>
      </c>
      <c r="T85" s="124">
        <v>1</v>
      </c>
      <c r="U85" s="124">
        <f t="shared" si="8"/>
        <v>12</v>
      </c>
      <c r="V85" s="126">
        <f t="shared" si="9"/>
        <v>46249</v>
      </c>
      <c r="W85" s="124">
        <f t="shared" ca="1" si="12"/>
        <v>101</v>
      </c>
      <c r="X85" s="124">
        <f t="shared" ca="1" si="10"/>
        <v>2</v>
      </c>
      <c r="Y85" s="124" t="s">
        <v>293</v>
      </c>
      <c r="Z85" s="124" t="s">
        <v>253</v>
      </c>
      <c r="AA85" s="124" t="s">
        <v>413</v>
      </c>
      <c r="AB85" s="124"/>
      <c r="AC85" s="124"/>
      <c r="AD85" s="134"/>
      <c r="AE85" s="124" t="str">
        <f t="shared" ca="1" si="11"/>
        <v>ساري</v>
      </c>
      <c r="AF85" s="131"/>
    </row>
    <row r="86" spans="1:16280" s="67" customFormat="1" ht="20.149999999999999" customHeight="1">
      <c r="A86" s="129">
        <v>85</v>
      </c>
      <c r="B86" s="125" t="s">
        <v>6</v>
      </c>
      <c r="C86" s="125" t="s">
        <v>6</v>
      </c>
      <c r="D86" s="125" t="s">
        <v>311</v>
      </c>
      <c r="E86" s="125" t="s">
        <v>195</v>
      </c>
      <c r="F86" s="125" t="s">
        <v>380</v>
      </c>
      <c r="G86" s="125"/>
      <c r="H86" s="125"/>
      <c r="I86" s="125"/>
      <c r="J86" s="125" t="s">
        <v>433</v>
      </c>
      <c r="K86" s="124" t="s">
        <v>367</v>
      </c>
      <c r="L86" s="125" t="s">
        <v>6</v>
      </c>
      <c r="M86" s="130"/>
      <c r="N86" s="130" t="s">
        <v>241</v>
      </c>
      <c r="O86" s="130" t="s">
        <v>208</v>
      </c>
      <c r="P86" s="125"/>
      <c r="Q86" s="126">
        <v>45167</v>
      </c>
      <c r="R86" s="126">
        <f t="shared" si="7"/>
        <v>45898</v>
      </c>
      <c r="S86" s="126">
        <v>45898</v>
      </c>
      <c r="T86" s="124">
        <v>1</v>
      </c>
      <c r="U86" s="124">
        <f t="shared" si="8"/>
        <v>12</v>
      </c>
      <c r="V86" s="126">
        <f t="shared" si="9"/>
        <v>46263</v>
      </c>
      <c r="W86" s="124">
        <f t="shared" ca="1" si="12"/>
        <v>115</v>
      </c>
      <c r="X86" s="124">
        <f t="shared" ca="1" si="10"/>
        <v>2</v>
      </c>
      <c r="Y86" s="124" t="s">
        <v>476</v>
      </c>
      <c r="Z86" s="124" t="s">
        <v>252</v>
      </c>
      <c r="AA86" s="124" t="s">
        <v>412</v>
      </c>
      <c r="AB86" s="124"/>
      <c r="AC86" s="124"/>
      <c r="AD86" s="134"/>
      <c r="AE86" s="124" t="str">
        <f t="shared" ca="1" si="11"/>
        <v>ساري</v>
      </c>
      <c r="AF86" s="131"/>
    </row>
    <row r="87" spans="1:16280" s="67" customFormat="1" ht="20.149999999999999" customHeight="1">
      <c r="A87" s="129">
        <v>86</v>
      </c>
      <c r="B87" s="125" t="s">
        <v>6</v>
      </c>
      <c r="C87" s="125" t="s">
        <v>6</v>
      </c>
      <c r="D87" s="125" t="s">
        <v>308</v>
      </c>
      <c r="E87" s="125" t="s">
        <v>195</v>
      </c>
      <c r="F87" s="125" t="s">
        <v>380</v>
      </c>
      <c r="G87" s="125"/>
      <c r="H87" s="125"/>
      <c r="I87" s="125"/>
      <c r="J87" s="125" t="s">
        <v>434</v>
      </c>
      <c r="K87" s="124" t="s">
        <v>367</v>
      </c>
      <c r="L87" s="125" t="s">
        <v>6</v>
      </c>
      <c r="M87" s="130"/>
      <c r="N87" s="130" t="s">
        <v>234</v>
      </c>
      <c r="O87" s="130" t="s">
        <v>208</v>
      </c>
      <c r="P87" s="125"/>
      <c r="Q87" s="126">
        <v>45167</v>
      </c>
      <c r="R87" s="126">
        <f t="shared" si="7"/>
        <v>45898</v>
      </c>
      <c r="S87" s="126">
        <v>45898</v>
      </c>
      <c r="T87" s="124">
        <v>1</v>
      </c>
      <c r="U87" s="124">
        <f t="shared" si="8"/>
        <v>12</v>
      </c>
      <c r="V87" s="126">
        <f t="shared" si="9"/>
        <v>46263</v>
      </c>
      <c r="W87" s="124">
        <f t="shared" ca="1" si="12"/>
        <v>115</v>
      </c>
      <c r="X87" s="124">
        <f t="shared" ca="1" si="10"/>
        <v>2</v>
      </c>
      <c r="Y87" s="124" t="s">
        <v>293</v>
      </c>
      <c r="Z87" s="124" t="s">
        <v>253</v>
      </c>
      <c r="AA87" s="124" t="s">
        <v>413</v>
      </c>
      <c r="AB87" s="124"/>
      <c r="AC87" s="124"/>
      <c r="AD87" s="134"/>
      <c r="AE87" s="124" t="str">
        <f t="shared" ca="1" si="11"/>
        <v>ساري</v>
      </c>
      <c r="AF87" s="131"/>
    </row>
    <row r="88" spans="1:16280" s="67" customFormat="1" ht="20.149999999999999" customHeight="1">
      <c r="A88" s="129">
        <v>87</v>
      </c>
      <c r="B88" s="125" t="s">
        <v>6</v>
      </c>
      <c r="C88" s="125" t="s">
        <v>6</v>
      </c>
      <c r="D88" s="125" t="s">
        <v>222</v>
      </c>
      <c r="E88" s="125" t="s">
        <v>195</v>
      </c>
      <c r="F88" s="125" t="s">
        <v>393</v>
      </c>
      <c r="G88" s="125"/>
      <c r="H88" s="125"/>
      <c r="I88" s="125"/>
      <c r="J88" s="125" t="s">
        <v>434</v>
      </c>
      <c r="K88" s="124" t="s">
        <v>368</v>
      </c>
      <c r="L88" s="125" t="s">
        <v>6</v>
      </c>
      <c r="M88" s="130" t="s">
        <v>345</v>
      </c>
      <c r="N88" s="130" t="s">
        <v>238</v>
      </c>
      <c r="O88" s="130" t="s">
        <v>208</v>
      </c>
      <c r="P88" s="125"/>
      <c r="Q88" s="126">
        <v>45190</v>
      </c>
      <c r="R88" s="126">
        <f t="shared" si="7"/>
        <v>45921</v>
      </c>
      <c r="S88" s="126">
        <v>45921</v>
      </c>
      <c r="T88" s="124">
        <v>1</v>
      </c>
      <c r="U88" s="124">
        <f t="shared" si="8"/>
        <v>12</v>
      </c>
      <c r="V88" s="126">
        <f t="shared" si="9"/>
        <v>46286</v>
      </c>
      <c r="W88" s="124">
        <f t="shared" ca="1" si="12"/>
        <v>138</v>
      </c>
      <c r="X88" s="124">
        <f t="shared" ca="1" si="10"/>
        <v>2</v>
      </c>
      <c r="Y88" s="124" t="s">
        <v>293</v>
      </c>
      <c r="Z88" s="124" t="s">
        <v>253</v>
      </c>
      <c r="AA88" s="124" t="s">
        <v>412</v>
      </c>
      <c r="AB88" s="124"/>
      <c r="AC88" s="124"/>
      <c r="AD88" s="134"/>
      <c r="AE88" s="124" t="str">
        <f t="shared" ca="1" si="11"/>
        <v>ساري</v>
      </c>
      <c r="AF88" s="131"/>
    </row>
    <row r="89" spans="1:16280" s="67" customFormat="1" ht="20.149999999999999" customHeight="1">
      <c r="A89" s="129">
        <v>88</v>
      </c>
      <c r="B89" s="125" t="s">
        <v>6</v>
      </c>
      <c r="C89" s="125" t="s">
        <v>6</v>
      </c>
      <c r="D89" s="125" t="s">
        <v>223</v>
      </c>
      <c r="E89" s="125" t="s">
        <v>195</v>
      </c>
      <c r="F89" s="125" t="s">
        <v>393</v>
      </c>
      <c r="G89" s="125"/>
      <c r="H89" s="125"/>
      <c r="I89" s="125"/>
      <c r="J89" s="125" t="s">
        <v>441</v>
      </c>
      <c r="K89" s="124" t="s">
        <v>367</v>
      </c>
      <c r="L89" s="125" t="s">
        <v>6</v>
      </c>
      <c r="M89" s="130" t="s">
        <v>338</v>
      </c>
      <c r="N89" s="130" t="s">
        <v>234</v>
      </c>
      <c r="O89" s="130" t="s">
        <v>208</v>
      </c>
      <c r="P89" s="125"/>
      <c r="Q89" s="126">
        <v>45199</v>
      </c>
      <c r="R89" s="126">
        <f t="shared" si="7"/>
        <v>45930</v>
      </c>
      <c r="S89" s="126">
        <v>45930</v>
      </c>
      <c r="T89" s="124">
        <v>1</v>
      </c>
      <c r="U89" s="124">
        <f t="shared" si="8"/>
        <v>12</v>
      </c>
      <c r="V89" s="126">
        <f t="shared" si="9"/>
        <v>46295</v>
      </c>
      <c r="W89" s="124">
        <f t="shared" ca="1" si="12"/>
        <v>147</v>
      </c>
      <c r="X89" s="124">
        <f t="shared" ca="1" si="10"/>
        <v>2</v>
      </c>
      <c r="Y89" s="124" t="s">
        <v>293</v>
      </c>
      <c r="Z89" s="124" t="s">
        <v>253</v>
      </c>
      <c r="AA89" s="124" t="s">
        <v>413</v>
      </c>
      <c r="AB89" s="124"/>
      <c r="AC89" s="124"/>
      <c r="AD89" s="134"/>
      <c r="AE89" s="124" t="str">
        <f t="shared" ca="1" si="11"/>
        <v>ساري</v>
      </c>
      <c r="AF89" s="131"/>
    </row>
    <row r="90" spans="1:16280" s="67" customFormat="1" ht="20.149999999999999" customHeight="1">
      <c r="A90" s="129">
        <v>89</v>
      </c>
      <c r="B90" s="125" t="s">
        <v>6</v>
      </c>
      <c r="C90" s="125" t="s">
        <v>6</v>
      </c>
      <c r="D90" s="125" t="s">
        <v>224</v>
      </c>
      <c r="E90" s="125" t="s">
        <v>195</v>
      </c>
      <c r="F90" s="125" t="s">
        <v>393</v>
      </c>
      <c r="G90" s="125"/>
      <c r="H90" s="125"/>
      <c r="I90" s="125"/>
      <c r="J90" s="125" t="s">
        <v>434</v>
      </c>
      <c r="K90" s="124" t="s">
        <v>367</v>
      </c>
      <c r="L90" s="125" t="s">
        <v>6</v>
      </c>
      <c r="M90" s="130" t="s">
        <v>344</v>
      </c>
      <c r="N90" s="130" t="s">
        <v>242</v>
      </c>
      <c r="O90" s="130" t="s">
        <v>208</v>
      </c>
      <c r="P90" s="125"/>
      <c r="Q90" s="126">
        <v>45202</v>
      </c>
      <c r="R90" s="126">
        <f t="shared" si="7"/>
        <v>45933</v>
      </c>
      <c r="S90" s="126">
        <v>45933</v>
      </c>
      <c r="T90" s="124">
        <v>1</v>
      </c>
      <c r="U90" s="124">
        <f t="shared" si="8"/>
        <v>12</v>
      </c>
      <c r="V90" s="126">
        <f t="shared" si="9"/>
        <v>46298</v>
      </c>
      <c r="W90" s="124">
        <f t="shared" ca="1" si="12"/>
        <v>150</v>
      </c>
      <c r="X90" s="124">
        <f t="shared" ca="1" si="10"/>
        <v>2</v>
      </c>
      <c r="Y90" s="124" t="s">
        <v>293</v>
      </c>
      <c r="Z90" s="124" t="s">
        <v>253</v>
      </c>
      <c r="AA90" s="124" t="s">
        <v>412</v>
      </c>
      <c r="AB90" s="124">
        <v>11880417206</v>
      </c>
      <c r="AC90" s="124"/>
      <c r="AD90" s="134"/>
      <c r="AE90" s="124" t="str">
        <f t="shared" ca="1" si="11"/>
        <v>ساري</v>
      </c>
      <c r="AF90" s="131"/>
    </row>
    <row r="91" spans="1:16280" s="67" customFormat="1" ht="20.149999999999999" customHeight="1">
      <c r="A91" s="129">
        <v>90</v>
      </c>
      <c r="B91" s="125" t="s">
        <v>6</v>
      </c>
      <c r="C91" s="125" t="s">
        <v>6</v>
      </c>
      <c r="D91" s="125" t="s">
        <v>227</v>
      </c>
      <c r="E91" s="125" t="s">
        <v>195</v>
      </c>
      <c r="F91" s="125" t="s">
        <v>393</v>
      </c>
      <c r="G91" s="125"/>
      <c r="H91" s="125"/>
      <c r="I91" s="125"/>
      <c r="J91" s="125" t="s">
        <v>432</v>
      </c>
      <c r="K91" s="124" t="s">
        <v>367</v>
      </c>
      <c r="L91" s="125" t="s">
        <v>6</v>
      </c>
      <c r="M91" s="130" t="s">
        <v>344</v>
      </c>
      <c r="N91" s="130" t="s">
        <v>241</v>
      </c>
      <c r="O91" s="130" t="s">
        <v>208</v>
      </c>
      <c r="P91" s="125"/>
      <c r="Q91" s="126">
        <v>45211</v>
      </c>
      <c r="R91" s="126">
        <f t="shared" si="7"/>
        <v>45942</v>
      </c>
      <c r="S91" s="126">
        <v>45942</v>
      </c>
      <c r="T91" s="124">
        <v>1</v>
      </c>
      <c r="U91" s="124">
        <f t="shared" si="8"/>
        <v>12</v>
      </c>
      <c r="V91" s="126">
        <f t="shared" si="9"/>
        <v>46307</v>
      </c>
      <c r="W91" s="124">
        <f t="shared" ca="1" si="12"/>
        <v>159</v>
      </c>
      <c r="X91" s="124">
        <f t="shared" ca="1" si="10"/>
        <v>2</v>
      </c>
      <c r="Y91" s="124" t="s">
        <v>293</v>
      </c>
      <c r="Z91" s="124" t="s">
        <v>253</v>
      </c>
      <c r="AA91" s="124" t="s">
        <v>412</v>
      </c>
      <c r="AB91" s="124"/>
      <c r="AC91" s="124"/>
      <c r="AD91" s="134"/>
      <c r="AE91" s="124" t="str">
        <f t="shared" ca="1" si="11"/>
        <v>ساري</v>
      </c>
      <c r="AF91" s="131"/>
    </row>
    <row r="92" spans="1:16280" s="67" customFormat="1" ht="20.149999999999999" customHeight="1">
      <c r="A92" s="129">
        <v>91</v>
      </c>
      <c r="B92" s="125" t="s">
        <v>6</v>
      </c>
      <c r="C92" s="125" t="s">
        <v>6</v>
      </c>
      <c r="D92" s="125" t="s">
        <v>226</v>
      </c>
      <c r="E92" s="125" t="s">
        <v>195</v>
      </c>
      <c r="F92" s="125" t="s">
        <v>393</v>
      </c>
      <c r="G92" s="125"/>
      <c r="H92" s="125"/>
      <c r="I92" s="125"/>
      <c r="J92" s="125" t="s">
        <v>434</v>
      </c>
      <c r="K92" s="124" t="s">
        <v>367</v>
      </c>
      <c r="L92" s="125" t="s">
        <v>6</v>
      </c>
      <c r="M92" s="130" t="s">
        <v>344</v>
      </c>
      <c r="N92" s="130" t="s">
        <v>236</v>
      </c>
      <c r="O92" s="130" t="s">
        <v>208</v>
      </c>
      <c r="P92" s="125"/>
      <c r="Q92" s="126">
        <v>45211</v>
      </c>
      <c r="R92" s="126">
        <f t="shared" si="7"/>
        <v>45942</v>
      </c>
      <c r="S92" s="126">
        <v>45942</v>
      </c>
      <c r="T92" s="124">
        <v>1</v>
      </c>
      <c r="U92" s="124">
        <f t="shared" si="8"/>
        <v>12</v>
      </c>
      <c r="V92" s="126">
        <f t="shared" si="9"/>
        <v>46307</v>
      </c>
      <c r="W92" s="124">
        <f t="shared" ca="1" si="12"/>
        <v>159</v>
      </c>
      <c r="X92" s="124">
        <f t="shared" ca="1" si="10"/>
        <v>2</v>
      </c>
      <c r="Y92" s="124" t="s">
        <v>293</v>
      </c>
      <c r="Z92" s="124" t="s">
        <v>253</v>
      </c>
      <c r="AA92" s="124" t="s">
        <v>412</v>
      </c>
      <c r="AB92" s="124">
        <v>11937793998</v>
      </c>
      <c r="AC92" s="124"/>
      <c r="AD92" s="134"/>
      <c r="AE92" s="124" t="str">
        <f t="shared" ca="1" si="11"/>
        <v>ساري</v>
      </c>
      <c r="AF92" s="131"/>
    </row>
    <row r="93" spans="1:16280" s="67" customFormat="1" ht="20.149999999999999" customHeight="1">
      <c r="A93" s="129">
        <v>92</v>
      </c>
      <c r="B93" s="125" t="s">
        <v>6</v>
      </c>
      <c r="C93" s="125" t="s">
        <v>6</v>
      </c>
      <c r="D93" s="125" t="s">
        <v>248</v>
      </c>
      <c r="E93" s="125" t="s">
        <v>195</v>
      </c>
      <c r="F93" s="125" t="s">
        <v>393</v>
      </c>
      <c r="G93" s="125"/>
      <c r="H93" s="125"/>
      <c r="I93" s="125"/>
      <c r="J93" s="125" t="s">
        <v>445</v>
      </c>
      <c r="K93" s="124" t="s">
        <v>367</v>
      </c>
      <c r="L93" s="125" t="s">
        <v>6</v>
      </c>
      <c r="M93" s="130" t="s">
        <v>341</v>
      </c>
      <c r="N93" s="130" t="s">
        <v>241</v>
      </c>
      <c r="O93" s="130" t="s">
        <v>208</v>
      </c>
      <c r="P93" s="125"/>
      <c r="Q93" s="126">
        <v>45242</v>
      </c>
      <c r="R93" s="126">
        <f t="shared" si="7"/>
        <v>45973</v>
      </c>
      <c r="S93" s="126">
        <v>45973</v>
      </c>
      <c r="T93" s="124">
        <v>1</v>
      </c>
      <c r="U93" s="124">
        <f t="shared" si="8"/>
        <v>12</v>
      </c>
      <c r="V93" s="126">
        <f t="shared" si="9"/>
        <v>46338</v>
      </c>
      <c r="W93" s="124">
        <f t="shared" ca="1" si="12"/>
        <v>190</v>
      </c>
      <c r="X93" s="124">
        <f t="shared" ca="1" si="10"/>
        <v>2</v>
      </c>
      <c r="Y93" s="124" t="s">
        <v>296</v>
      </c>
      <c r="Z93" s="124" t="s">
        <v>252</v>
      </c>
      <c r="AA93" s="124" t="s">
        <v>413</v>
      </c>
      <c r="AB93" s="124"/>
      <c r="AC93" s="124"/>
      <c r="AD93" s="134"/>
      <c r="AE93" s="124" t="str">
        <f t="shared" ca="1" si="11"/>
        <v>ساري</v>
      </c>
      <c r="AF93" s="131"/>
    </row>
    <row r="94" spans="1:16280" s="68" customFormat="1" ht="20.149999999999999" customHeight="1">
      <c r="A94" s="129">
        <v>93</v>
      </c>
      <c r="B94" s="125" t="s">
        <v>6</v>
      </c>
      <c r="C94" s="125" t="s">
        <v>6</v>
      </c>
      <c r="D94" s="125" t="s">
        <v>254</v>
      </c>
      <c r="E94" s="125" t="s">
        <v>195</v>
      </c>
      <c r="F94" s="125" t="s">
        <v>392</v>
      </c>
      <c r="G94" s="125"/>
      <c r="H94" s="125"/>
      <c r="I94" s="125"/>
      <c r="J94" s="125" t="s">
        <v>438</v>
      </c>
      <c r="K94" s="124" t="s">
        <v>367</v>
      </c>
      <c r="L94" s="125" t="s">
        <v>6</v>
      </c>
      <c r="M94" s="130"/>
      <c r="N94" s="130" t="s">
        <v>241</v>
      </c>
      <c r="O94" s="130" t="s">
        <v>208</v>
      </c>
      <c r="P94" s="125"/>
      <c r="Q94" s="126">
        <v>45251</v>
      </c>
      <c r="R94" s="126">
        <f t="shared" si="7"/>
        <v>45982</v>
      </c>
      <c r="S94" s="126">
        <v>45982</v>
      </c>
      <c r="T94" s="124">
        <v>1</v>
      </c>
      <c r="U94" s="124">
        <f t="shared" si="8"/>
        <v>12</v>
      </c>
      <c r="V94" s="126">
        <f t="shared" si="9"/>
        <v>46347</v>
      </c>
      <c r="W94" s="124">
        <f t="shared" ca="1" si="12"/>
        <v>199</v>
      </c>
      <c r="X94" s="124">
        <f t="shared" ca="1" si="10"/>
        <v>2</v>
      </c>
      <c r="Y94" s="124" t="s">
        <v>296</v>
      </c>
      <c r="Z94" s="124" t="s">
        <v>252</v>
      </c>
      <c r="AA94" s="124" t="s">
        <v>413</v>
      </c>
      <c r="AB94" s="124">
        <v>11949143238</v>
      </c>
      <c r="AC94" s="124"/>
      <c r="AD94" s="134"/>
      <c r="AE94" s="124" t="str">
        <f t="shared" ca="1" si="11"/>
        <v>ساري</v>
      </c>
      <c r="AF94" s="131"/>
    </row>
    <row r="95" spans="1:16280" s="68" customFormat="1" ht="20.149999999999999" customHeight="1">
      <c r="A95" s="129">
        <v>94</v>
      </c>
      <c r="B95" s="125" t="s">
        <v>6</v>
      </c>
      <c r="C95" s="125" t="s">
        <v>6</v>
      </c>
      <c r="D95" s="125" t="s">
        <v>303</v>
      </c>
      <c r="E95" s="125" t="s">
        <v>195</v>
      </c>
      <c r="F95" s="125" t="s">
        <v>393</v>
      </c>
      <c r="G95" s="125"/>
      <c r="H95" s="125"/>
      <c r="I95" s="125"/>
      <c r="J95" s="125" t="s">
        <v>444</v>
      </c>
      <c r="K95" s="124" t="s">
        <v>367</v>
      </c>
      <c r="L95" s="125" t="s">
        <v>6</v>
      </c>
      <c r="M95" s="130" t="s">
        <v>345</v>
      </c>
      <c r="N95" s="130" t="s">
        <v>234</v>
      </c>
      <c r="O95" s="130" t="s">
        <v>208</v>
      </c>
      <c r="P95" s="125"/>
      <c r="Q95" s="126">
        <v>45323</v>
      </c>
      <c r="R95" s="126">
        <f t="shared" si="7"/>
        <v>46054</v>
      </c>
      <c r="S95" s="126">
        <v>45689</v>
      </c>
      <c r="T95" s="124">
        <v>1</v>
      </c>
      <c r="U95" s="124">
        <f t="shared" si="8"/>
        <v>12</v>
      </c>
      <c r="V95" s="126">
        <f t="shared" si="9"/>
        <v>46054</v>
      </c>
      <c r="W95" s="124">
        <f t="shared" ca="1" si="12"/>
        <v>-94</v>
      </c>
      <c r="X95" s="124">
        <f t="shared" ca="1" si="10"/>
        <v>2</v>
      </c>
      <c r="Y95" s="124" t="s">
        <v>293</v>
      </c>
      <c r="Z95" s="124" t="s">
        <v>253</v>
      </c>
      <c r="AA95" s="124" t="s">
        <v>413</v>
      </c>
      <c r="AB95" s="124"/>
      <c r="AC95" s="124"/>
      <c r="AD95" s="134"/>
      <c r="AE95" s="124" t="str">
        <f t="shared" ca="1" si="11"/>
        <v>منتهي</v>
      </c>
      <c r="AF95" s="131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  <c r="XAN95" s="67"/>
      <c r="XAO95" s="67"/>
      <c r="XAP95" s="67"/>
      <c r="XAQ95" s="67"/>
      <c r="XAR95" s="67"/>
      <c r="XAS95" s="67"/>
      <c r="XAT95" s="67"/>
      <c r="XAU95" s="67"/>
      <c r="XAV95" s="67"/>
      <c r="XAW95" s="67"/>
      <c r="XAX95" s="67"/>
      <c r="XAY95" s="67"/>
      <c r="XAZ95" s="67"/>
      <c r="XBA95" s="67"/>
      <c r="XBB95" s="67"/>
      <c r="XBC95" s="67"/>
      <c r="XBD95" s="67"/>
    </row>
    <row r="96" spans="1:16280" s="68" customFormat="1" ht="20.149999999999999" customHeight="1">
      <c r="A96" s="129">
        <v>95</v>
      </c>
      <c r="B96" s="125" t="s">
        <v>6</v>
      </c>
      <c r="C96" s="125" t="s">
        <v>6</v>
      </c>
      <c r="D96" s="125" t="s">
        <v>301</v>
      </c>
      <c r="E96" s="125" t="s">
        <v>195</v>
      </c>
      <c r="F96" s="125" t="s">
        <v>393</v>
      </c>
      <c r="G96" s="125"/>
      <c r="H96" s="125"/>
      <c r="I96" s="125"/>
      <c r="J96" s="125" t="s">
        <v>445</v>
      </c>
      <c r="K96" s="124" t="s">
        <v>367</v>
      </c>
      <c r="L96" s="125" t="s">
        <v>6</v>
      </c>
      <c r="M96" s="130" t="s">
        <v>343</v>
      </c>
      <c r="N96" s="130" t="s">
        <v>241</v>
      </c>
      <c r="O96" s="130" t="s">
        <v>208</v>
      </c>
      <c r="P96" s="125"/>
      <c r="Q96" s="126">
        <v>45323</v>
      </c>
      <c r="R96" s="126">
        <f t="shared" si="7"/>
        <v>46054</v>
      </c>
      <c r="S96" s="126">
        <v>45689</v>
      </c>
      <c r="T96" s="124">
        <v>1</v>
      </c>
      <c r="U96" s="124">
        <f t="shared" si="8"/>
        <v>12</v>
      </c>
      <c r="V96" s="126">
        <f t="shared" si="9"/>
        <v>46054</v>
      </c>
      <c r="W96" s="124">
        <f t="shared" ca="1" si="12"/>
        <v>-94</v>
      </c>
      <c r="X96" s="124">
        <f t="shared" ca="1" si="10"/>
        <v>2</v>
      </c>
      <c r="Y96" s="124" t="s">
        <v>293</v>
      </c>
      <c r="Z96" s="124" t="s">
        <v>253</v>
      </c>
      <c r="AA96" s="124" t="s">
        <v>412</v>
      </c>
      <c r="AB96" s="124">
        <v>11537735781</v>
      </c>
      <c r="AC96" s="124"/>
      <c r="AD96" s="134"/>
      <c r="AE96" s="124" t="str">
        <f t="shared" ca="1" si="11"/>
        <v>منتهي</v>
      </c>
      <c r="AF96" s="131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  <c r="XAN96" s="67"/>
      <c r="XAO96" s="67"/>
      <c r="XAP96" s="67"/>
      <c r="XAQ96" s="67"/>
      <c r="XAR96" s="67"/>
      <c r="XAS96" s="67"/>
      <c r="XAT96" s="67"/>
      <c r="XAU96" s="67"/>
      <c r="XAV96" s="67"/>
      <c r="XAW96" s="67"/>
      <c r="XAX96" s="67"/>
      <c r="XAY96" s="67"/>
      <c r="XAZ96" s="67"/>
      <c r="XBA96" s="67"/>
      <c r="XBB96" s="67"/>
      <c r="XBC96" s="67"/>
      <c r="XBD96" s="67"/>
    </row>
    <row r="97" spans="1:16280" s="68" customFormat="1" ht="20.149999999999999" customHeight="1">
      <c r="A97" s="129">
        <v>96</v>
      </c>
      <c r="B97" s="125" t="s">
        <v>6</v>
      </c>
      <c r="C97" s="125" t="s">
        <v>6</v>
      </c>
      <c r="D97" s="125" t="s">
        <v>302</v>
      </c>
      <c r="E97" s="125" t="s">
        <v>195</v>
      </c>
      <c r="F97" s="125" t="s">
        <v>393</v>
      </c>
      <c r="G97" s="125"/>
      <c r="H97" s="125"/>
      <c r="I97" s="125"/>
      <c r="J97" s="125" t="s">
        <v>445</v>
      </c>
      <c r="K97" s="124" t="s">
        <v>367</v>
      </c>
      <c r="L97" s="125" t="s">
        <v>6</v>
      </c>
      <c r="M97" s="130" t="s">
        <v>342</v>
      </c>
      <c r="N97" s="130" t="s">
        <v>241</v>
      </c>
      <c r="O97" s="130" t="s">
        <v>208</v>
      </c>
      <c r="P97" s="125"/>
      <c r="Q97" s="126">
        <v>45323</v>
      </c>
      <c r="R97" s="126">
        <f t="shared" si="7"/>
        <v>46054</v>
      </c>
      <c r="S97" s="126">
        <v>45689</v>
      </c>
      <c r="T97" s="124">
        <v>1</v>
      </c>
      <c r="U97" s="124">
        <f t="shared" si="8"/>
        <v>12</v>
      </c>
      <c r="V97" s="126">
        <f t="shared" si="9"/>
        <v>46054</v>
      </c>
      <c r="W97" s="124">
        <f t="shared" ca="1" si="12"/>
        <v>-94</v>
      </c>
      <c r="X97" s="124">
        <f t="shared" ca="1" si="10"/>
        <v>2</v>
      </c>
      <c r="Y97" s="124" t="s">
        <v>293</v>
      </c>
      <c r="Z97" s="124" t="s">
        <v>253</v>
      </c>
      <c r="AA97" s="124" t="s">
        <v>412</v>
      </c>
      <c r="AB97" s="124">
        <v>11991406729</v>
      </c>
      <c r="AC97" s="124"/>
      <c r="AD97" s="134"/>
      <c r="AE97" s="124" t="str">
        <f t="shared" ca="1" si="11"/>
        <v>منتهي</v>
      </c>
      <c r="AF97" s="131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  <c r="XAN97" s="67"/>
      <c r="XAO97" s="67"/>
      <c r="XAP97" s="67"/>
      <c r="XAQ97" s="67"/>
      <c r="XAR97" s="67"/>
      <c r="XAS97" s="67"/>
      <c r="XAT97" s="67"/>
      <c r="XAU97" s="67"/>
      <c r="XAV97" s="67"/>
      <c r="XAW97" s="67"/>
      <c r="XAX97" s="67"/>
      <c r="XAY97" s="67"/>
      <c r="XAZ97" s="67"/>
      <c r="XBA97" s="67"/>
      <c r="XBB97" s="67"/>
      <c r="XBC97" s="67"/>
      <c r="XBD97" s="67"/>
    </row>
    <row r="98" spans="1:16280" s="68" customFormat="1" ht="20.149999999999999" customHeight="1">
      <c r="A98" s="129">
        <v>97</v>
      </c>
      <c r="B98" s="125" t="s">
        <v>6</v>
      </c>
      <c r="C98" s="125" t="s">
        <v>6</v>
      </c>
      <c r="D98" s="125" t="s">
        <v>310</v>
      </c>
      <c r="E98" s="125" t="s">
        <v>195</v>
      </c>
      <c r="F98" s="125" t="s">
        <v>393</v>
      </c>
      <c r="G98" s="125"/>
      <c r="H98" s="125"/>
      <c r="I98" s="125"/>
      <c r="J98" s="125" t="s">
        <v>450</v>
      </c>
      <c r="K98" s="124" t="s">
        <v>367</v>
      </c>
      <c r="L98" s="125" t="s">
        <v>6</v>
      </c>
      <c r="M98" s="130" t="s">
        <v>341</v>
      </c>
      <c r="N98" s="130" t="s">
        <v>241</v>
      </c>
      <c r="O98" s="130" t="s">
        <v>208</v>
      </c>
      <c r="P98" s="125"/>
      <c r="Q98" s="126">
        <v>45342</v>
      </c>
      <c r="R98" s="126">
        <f t="shared" si="7"/>
        <v>46073</v>
      </c>
      <c r="S98" s="126">
        <v>45708</v>
      </c>
      <c r="T98" s="124">
        <v>1</v>
      </c>
      <c r="U98" s="124">
        <f t="shared" si="8"/>
        <v>12</v>
      </c>
      <c r="V98" s="126">
        <f t="shared" si="9"/>
        <v>46073</v>
      </c>
      <c r="W98" s="124">
        <f t="shared" ca="1" si="12"/>
        <v>-75</v>
      </c>
      <c r="X98" s="124">
        <f t="shared" ca="1" si="10"/>
        <v>2</v>
      </c>
      <c r="Y98" s="124" t="s">
        <v>293</v>
      </c>
      <c r="Z98" s="124" t="s">
        <v>253</v>
      </c>
      <c r="AA98" s="124" t="s">
        <v>413</v>
      </c>
      <c r="AB98" s="124">
        <v>11909591576</v>
      </c>
      <c r="AC98" s="124"/>
      <c r="AD98" s="134"/>
      <c r="AE98" s="124" t="str">
        <f t="shared" ca="1" si="11"/>
        <v>منتهي</v>
      </c>
      <c r="AF98" s="131"/>
    </row>
    <row r="99" spans="1:16280" s="68" customFormat="1" ht="20.149999999999999" customHeight="1">
      <c r="A99" s="129">
        <v>98</v>
      </c>
      <c r="B99" s="125" t="s">
        <v>6</v>
      </c>
      <c r="C99" s="125" t="s">
        <v>6</v>
      </c>
      <c r="D99" s="125" t="s">
        <v>313</v>
      </c>
      <c r="E99" s="125" t="s">
        <v>194</v>
      </c>
      <c r="F99" s="125"/>
      <c r="G99" s="125"/>
      <c r="H99" s="125"/>
      <c r="I99" s="125"/>
      <c r="J99" s="125" t="s">
        <v>449</v>
      </c>
      <c r="K99" s="124" t="s">
        <v>367</v>
      </c>
      <c r="L99" s="125" t="s">
        <v>6</v>
      </c>
      <c r="M99" s="130"/>
      <c r="N99" s="130" t="s">
        <v>241</v>
      </c>
      <c r="O99" s="130" t="s">
        <v>208</v>
      </c>
      <c r="P99" s="125"/>
      <c r="Q99" s="126">
        <v>45369</v>
      </c>
      <c r="R99" s="126">
        <f t="shared" si="7"/>
        <v>46099</v>
      </c>
      <c r="S99" s="126">
        <v>45734</v>
      </c>
      <c r="T99" s="124">
        <v>1</v>
      </c>
      <c r="U99" s="124">
        <f t="shared" si="8"/>
        <v>12</v>
      </c>
      <c r="V99" s="126">
        <f t="shared" si="9"/>
        <v>46099</v>
      </c>
      <c r="W99" s="124">
        <f t="shared" ca="1" si="12"/>
        <v>-49</v>
      </c>
      <c r="X99" s="124">
        <f t="shared" ca="1" si="10"/>
        <v>2</v>
      </c>
      <c r="Y99" s="124" t="s">
        <v>296</v>
      </c>
      <c r="Z99" s="124" t="s">
        <v>252</v>
      </c>
      <c r="AA99" s="124" t="s">
        <v>412</v>
      </c>
      <c r="AB99" s="124"/>
      <c r="AC99" s="124"/>
      <c r="AD99" s="134"/>
      <c r="AE99" s="124" t="str">
        <f t="shared" ca="1" si="11"/>
        <v>منتهي</v>
      </c>
      <c r="AF99" s="131"/>
    </row>
    <row r="100" spans="1:16280" s="68" customFormat="1" ht="20.149999999999999" customHeight="1">
      <c r="A100" s="129">
        <v>99</v>
      </c>
      <c r="B100" s="125" t="s">
        <v>6</v>
      </c>
      <c r="C100" s="125" t="s">
        <v>6</v>
      </c>
      <c r="D100" s="125" t="s">
        <v>409</v>
      </c>
      <c r="E100" s="125" t="s">
        <v>195</v>
      </c>
      <c r="F100" s="125"/>
      <c r="G100" s="125"/>
      <c r="H100" s="125"/>
      <c r="I100" s="125"/>
      <c r="J100" s="125" t="s">
        <v>435</v>
      </c>
      <c r="K100" s="124" t="s">
        <v>367</v>
      </c>
      <c r="L100" s="125" t="s">
        <v>6</v>
      </c>
      <c r="M100" s="130"/>
      <c r="N100" s="130" t="s">
        <v>234</v>
      </c>
      <c r="O100" s="130" t="s">
        <v>208</v>
      </c>
      <c r="P100" s="125"/>
      <c r="Q100" s="126">
        <v>45413</v>
      </c>
      <c r="R100" s="126">
        <f t="shared" si="7"/>
        <v>46143</v>
      </c>
      <c r="S100" s="126">
        <v>45778</v>
      </c>
      <c r="T100" s="124">
        <v>1</v>
      </c>
      <c r="U100" s="124">
        <f t="shared" si="8"/>
        <v>12</v>
      </c>
      <c r="V100" s="126">
        <f t="shared" si="9"/>
        <v>46143</v>
      </c>
      <c r="W100" s="124">
        <f t="shared" ca="1" si="12"/>
        <v>-5</v>
      </c>
      <c r="X100" s="124">
        <f t="shared" ca="1" si="10"/>
        <v>2</v>
      </c>
      <c r="Y100" s="124" t="s">
        <v>293</v>
      </c>
      <c r="Z100" s="124" t="s">
        <v>253</v>
      </c>
      <c r="AA100" s="124" t="s">
        <v>413</v>
      </c>
      <c r="AB100" s="124">
        <v>19082673503</v>
      </c>
      <c r="AC100" s="124"/>
      <c r="AD100" s="134"/>
      <c r="AE100" s="124" t="str">
        <f t="shared" ca="1" si="11"/>
        <v>منتهي</v>
      </c>
      <c r="AF100" s="131"/>
    </row>
    <row r="101" spans="1:16280" s="68" customFormat="1" ht="20.149999999999999" customHeight="1">
      <c r="A101" s="129">
        <v>100</v>
      </c>
      <c r="B101" s="125" t="s">
        <v>6</v>
      </c>
      <c r="C101" s="125" t="s">
        <v>6</v>
      </c>
      <c r="D101" s="125" t="s">
        <v>333</v>
      </c>
      <c r="E101" s="125" t="s">
        <v>195</v>
      </c>
      <c r="F101" s="125"/>
      <c r="G101" s="125"/>
      <c r="H101" s="125"/>
      <c r="I101" s="125"/>
      <c r="J101" s="125" t="s">
        <v>448</v>
      </c>
      <c r="K101" s="124" t="s">
        <v>367</v>
      </c>
      <c r="L101" s="125" t="s">
        <v>6</v>
      </c>
      <c r="M101" s="130"/>
      <c r="N101" s="130" t="s">
        <v>241</v>
      </c>
      <c r="O101" s="130" t="s">
        <v>208</v>
      </c>
      <c r="P101" s="125"/>
      <c r="Q101" s="126">
        <v>45579</v>
      </c>
      <c r="R101" s="126">
        <f t="shared" si="7"/>
        <v>46309</v>
      </c>
      <c r="S101" s="126">
        <v>45944</v>
      </c>
      <c r="T101" s="124">
        <v>1</v>
      </c>
      <c r="U101" s="124">
        <f t="shared" si="8"/>
        <v>12</v>
      </c>
      <c r="V101" s="126">
        <f t="shared" si="9"/>
        <v>46309</v>
      </c>
      <c r="W101" s="124">
        <f t="shared" ca="1" si="12"/>
        <v>161</v>
      </c>
      <c r="X101" s="124">
        <f t="shared" ca="1" si="10"/>
        <v>1</v>
      </c>
      <c r="Y101" s="124" t="s">
        <v>476</v>
      </c>
      <c r="Z101" s="124" t="s">
        <v>252</v>
      </c>
      <c r="AA101" s="124" t="s">
        <v>412</v>
      </c>
      <c r="AB101" s="124">
        <v>11985300744</v>
      </c>
      <c r="AC101" s="124"/>
      <c r="AD101" s="134"/>
      <c r="AE101" s="124" t="str">
        <f t="shared" ca="1" si="11"/>
        <v>ساري</v>
      </c>
      <c r="AF101" s="131"/>
    </row>
    <row r="102" spans="1:16280" s="68" customFormat="1" ht="20.149999999999999" customHeight="1">
      <c r="A102" s="129">
        <v>101</v>
      </c>
      <c r="B102" s="125" t="s">
        <v>6</v>
      </c>
      <c r="C102" s="125" t="s">
        <v>6</v>
      </c>
      <c r="D102" s="125" t="s">
        <v>371</v>
      </c>
      <c r="E102" s="125" t="s">
        <v>195</v>
      </c>
      <c r="F102" s="125" t="s">
        <v>393</v>
      </c>
      <c r="G102" s="125"/>
      <c r="H102" s="125"/>
      <c r="I102" s="125"/>
      <c r="J102" s="125" t="s">
        <v>448</v>
      </c>
      <c r="K102" s="124" t="s">
        <v>367</v>
      </c>
      <c r="L102" s="125" t="s">
        <v>6</v>
      </c>
      <c r="M102" s="130" t="s">
        <v>344</v>
      </c>
      <c r="N102" s="130" t="s">
        <v>241</v>
      </c>
      <c r="O102" s="130" t="s">
        <v>208</v>
      </c>
      <c r="P102" s="125"/>
      <c r="Q102" s="126">
        <v>45582</v>
      </c>
      <c r="R102" s="126">
        <f t="shared" si="7"/>
        <v>46312</v>
      </c>
      <c r="S102" s="126">
        <v>45947</v>
      </c>
      <c r="T102" s="124">
        <v>1</v>
      </c>
      <c r="U102" s="124">
        <f t="shared" si="8"/>
        <v>12</v>
      </c>
      <c r="V102" s="126">
        <f t="shared" si="9"/>
        <v>46312</v>
      </c>
      <c r="W102" s="124">
        <f t="shared" ca="1" si="12"/>
        <v>164</v>
      </c>
      <c r="X102" s="124">
        <f t="shared" ca="1" si="10"/>
        <v>1</v>
      </c>
      <c r="Y102" s="124" t="s">
        <v>293</v>
      </c>
      <c r="Z102" s="124" t="s">
        <v>253</v>
      </c>
      <c r="AA102" s="124" t="s">
        <v>412</v>
      </c>
      <c r="AB102" s="124">
        <v>11990177337</v>
      </c>
      <c r="AC102" s="124"/>
      <c r="AD102" s="134"/>
      <c r="AE102" s="124" t="str">
        <f t="shared" ca="1" si="11"/>
        <v>ساري</v>
      </c>
      <c r="AF102" s="131"/>
    </row>
    <row r="103" spans="1:16280" s="68" customFormat="1" ht="20.149999999999999" customHeight="1">
      <c r="A103" s="129">
        <v>102</v>
      </c>
      <c r="B103" s="125" t="s">
        <v>6</v>
      </c>
      <c r="C103" s="125" t="s">
        <v>6</v>
      </c>
      <c r="D103" s="125" t="s">
        <v>494</v>
      </c>
      <c r="E103" s="125" t="s">
        <v>195</v>
      </c>
      <c r="F103" s="125" t="s">
        <v>393</v>
      </c>
      <c r="G103" s="125"/>
      <c r="H103" s="125"/>
      <c r="I103" s="125"/>
      <c r="J103" s="125" t="s">
        <v>435</v>
      </c>
      <c r="K103" s="124" t="s">
        <v>367</v>
      </c>
      <c r="L103" s="125" t="s">
        <v>6</v>
      </c>
      <c r="M103" s="130" t="s">
        <v>344</v>
      </c>
      <c r="N103" s="130" t="s">
        <v>241</v>
      </c>
      <c r="O103" s="130" t="s">
        <v>208</v>
      </c>
      <c r="P103" s="125"/>
      <c r="Q103" s="126">
        <v>45588</v>
      </c>
      <c r="R103" s="126">
        <f t="shared" si="7"/>
        <v>46318</v>
      </c>
      <c r="S103" s="126">
        <v>45953</v>
      </c>
      <c r="T103" s="124">
        <v>1</v>
      </c>
      <c r="U103" s="124">
        <f t="shared" si="8"/>
        <v>12</v>
      </c>
      <c r="V103" s="126">
        <f t="shared" si="9"/>
        <v>46318</v>
      </c>
      <c r="W103" s="124">
        <f t="shared" ca="1" si="12"/>
        <v>170</v>
      </c>
      <c r="X103" s="124">
        <f t="shared" ca="1" si="10"/>
        <v>1</v>
      </c>
      <c r="Y103" s="124" t="s">
        <v>293</v>
      </c>
      <c r="Z103" s="124" t="s">
        <v>253</v>
      </c>
      <c r="AA103" s="124" t="s">
        <v>412</v>
      </c>
      <c r="AB103" s="124">
        <v>11994077986</v>
      </c>
      <c r="AC103" s="124"/>
      <c r="AD103" s="134"/>
      <c r="AE103" s="124" t="str">
        <f t="shared" ca="1" si="11"/>
        <v>ساري</v>
      </c>
      <c r="AF103" s="131"/>
    </row>
    <row r="104" spans="1:16280" s="68" customFormat="1" ht="20.149999999999999" customHeight="1">
      <c r="A104" s="129">
        <v>103</v>
      </c>
      <c r="B104" s="125" t="s">
        <v>6</v>
      </c>
      <c r="C104" s="125" t="s">
        <v>6</v>
      </c>
      <c r="D104" s="125" t="s">
        <v>396</v>
      </c>
      <c r="E104" s="125" t="s">
        <v>195</v>
      </c>
      <c r="F104" s="125"/>
      <c r="G104" s="125"/>
      <c r="H104" s="125"/>
      <c r="I104" s="125"/>
      <c r="J104" s="125" t="s">
        <v>435</v>
      </c>
      <c r="K104" s="124" t="s">
        <v>367</v>
      </c>
      <c r="L104" s="125" t="s">
        <v>6</v>
      </c>
      <c r="M104" s="130"/>
      <c r="N104" s="130" t="s">
        <v>241</v>
      </c>
      <c r="O104" s="130" t="s">
        <v>208</v>
      </c>
      <c r="P104" s="125"/>
      <c r="Q104" s="126">
        <v>45597</v>
      </c>
      <c r="R104" s="126">
        <f t="shared" si="7"/>
        <v>46327</v>
      </c>
      <c r="S104" s="126">
        <v>45962</v>
      </c>
      <c r="T104" s="124">
        <v>1</v>
      </c>
      <c r="U104" s="124">
        <f t="shared" si="8"/>
        <v>12</v>
      </c>
      <c r="V104" s="126">
        <f t="shared" si="9"/>
        <v>46327</v>
      </c>
      <c r="W104" s="124">
        <f t="shared" ca="1" si="12"/>
        <v>179</v>
      </c>
      <c r="X104" s="124">
        <f t="shared" ca="1" si="10"/>
        <v>1</v>
      </c>
      <c r="Y104" s="124" t="s">
        <v>476</v>
      </c>
      <c r="Z104" s="124" t="s">
        <v>252</v>
      </c>
      <c r="AA104" s="124" t="s">
        <v>412</v>
      </c>
      <c r="AB104" s="124">
        <v>17827361050</v>
      </c>
      <c r="AC104" s="124"/>
      <c r="AD104" s="134"/>
      <c r="AE104" s="124" t="str">
        <f t="shared" ca="1" si="11"/>
        <v>ساري</v>
      </c>
      <c r="AF104" s="131"/>
    </row>
    <row r="105" spans="1:16280" s="68" customFormat="1" ht="20.149999999999999" customHeight="1">
      <c r="A105" s="129">
        <v>104</v>
      </c>
      <c r="B105" s="125" t="s">
        <v>6</v>
      </c>
      <c r="C105" s="125" t="s">
        <v>6</v>
      </c>
      <c r="D105" s="125" t="s">
        <v>395</v>
      </c>
      <c r="E105" s="125" t="s">
        <v>195</v>
      </c>
      <c r="F105" s="125"/>
      <c r="G105" s="125"/>
      <c r="H105" s="125"/>
      <c r="I105" s="125"/>
      <c r="J105" s="125" t="s">
        <v>435</v>
      </c>
      <c r="K105" s="124" t="s">
        <v>367</v>
      </c>
      <c r="L105" s="125" t="s">
        <v>6</v>
      </c>
      <c r="M105" s="130"/>
      <c r="N105" s="130" t="s">
        <v>241</v>
      </c>
      <c r="O105" s="130" t="s">
        <v>208</v>
      </c>
      <c r="P105" s="125"/>
      <c r="Q105" s="126">
        <v>45597</v>
      </c>
      <c r="R105" s="126">
        <f t="shared" si="7"/>
        <v>46327</v>
      </c>
      <c r="S105" s="126">
        <v>45962</v>
      </c>
      <c r="T105" s="124">
        <v>1</v>
      </c>
      <c r="U105" s="124">
        <f t="shared" si="8"/>
        <v>12</v>
      </c>
      <c r="V105" s="126">
        <f t="shared" si="9"/>
        <v>46327</v>
      </c>
      <c r="W105" s="124">
        <f t="shared" ca="1" si="12"/>
        <v>179</v>
      </c>
      <c r="X105" s="124">
        <f t="shared" ca="1" si="10"/>
        <v>1</v>
      </c>
      <c r="Y105" s="124" t="s">
        <v>293</v>
      </c>
      <c r="Z105" s="124" t="s">
        <v>253</v>
      </c>
      <c r="AA105" s="124" t="s">
        <v>412</v>
      </c>
      <c r="AB105" s="124">
        <v>11293045678</v>
      </c>
      <c r="AC105" s="124"/>
      <c r="AD105" s="134"/>
      <c r="AE105" s="124" t="str">
        <f t="shared" ca="1" si="11"/>
        <v>ساري</v>
      </c>
      <c r="AF105" s="131"/>
    </row>
    <row r="106" spans="1:16280" s="68" customFormat="1" ht="20.149999999999999" customHeight="1">
      <c r="A106" s="129">
        <v>105</v>
      </c>
      <c r="B106" s="125" t="s">
        <v>6</v>
      </c>
      <c r="C106" s="125" t="s">
        <v>6</v>
      </c>
      <c r="D106" s="125" t="s">
        <v>423</v>
      </c>
      <c r="E106" s="125" t="s">
        <v>195</v>
      </c>
      <c r="F106" s="125"/>
      <c r="G106" s="125"/>
      <c r="H106" s="125"/>
      <c r="I106" s="125"/>
      <c r="J106" s="125" t="s">
        <v>447</v>
      </c>
      <c r="K106" s="124" t="s">
        <v>367</v>
      </c>
      <c r="L106" s="125" t="s">
        <v>6</v>
      </c>
      <c r="M106" s="130"/>
      <c r="N106" s="130" t="s">
        <v>237</v>
      </c>
      <c r="O106" s="130" t="s">
        <v>208</v>
      </c>
      <c r="P106" s="125"/>
      <c r="Q106" s="126">
        <v>45697</v>
      </c>
      <c r="R106" s="126">
        <f t="shared" si="7"/>
        <v>46427</v>
      </c>
      <c r="S106" s="126">
        <v>45697</v>
      </c>
      <c r="T106" s="124">
        <v>1</v>
      </c>
      <c r="U106" s="124">
        <f t="shared" si="8"/>
        <v>12</v>
      </c>
      <c r="V106" s="126">
        <f t="shared" si="9"/>
        <v>46062</v>
      </c>
      <c r="W106" s="124">
        <f t="shared" ca="1" si="12"/>
        <v>-86</v>
      </c>
      <c r="X106" s="124">
        <f t="shared" ca="1" si="10"/>
        <v>1</v>
      </c>
      <c r="Y106" s="124" t="s">
        <v>293</v>
      </c>
      <c r="Z106" s="124" t="s">
        <v>253</v>
      </c>
      <c r="AA106" s="124" t="s">
        <v>412</v>
      </c>
      <c r="AB106" s="124">
        <v>17842711864</v>
      </c>
      <c r="AC106" s="124"/>
      <c r="AD106" s="134"/>
      <c r="AE106" s="124" t="str">
        <f t="shared" ca="1" si="11"/>
        <v>منتهي</v>
      </c>
      <c r="AF106" s="131"/>
    </row>
    <row r="107" spans="1:16280" s="68" customFormat="1" ht="20.149999999999999" customHeight="1">
      <c r="A107" s="129">
        <v>106</v>
      </c>
      <c r="B107" s="125" t="s">
        <v>6</v>
      </c>
      <c r="C107" s="125" t="s">
        <v>6</v>
      </c>
      <c r="D107" s="125" t="s">
        <v>428</v>
      </c>
      <c r="E107" s="125" t="s">
        <v>195</v>
      </c>
      <c r="F107" s="125"/>
      <c r="G107" s="125"/>
      <c r="H107" s="125"/>
      <c r="I107" s="125"/>
      <c r="J107" s="125" t="s">
        <v>456</v>
      </c>
      <c r="K107" s="124" t="s">
        <v>367</v>
      </c>
      <c r="L107" s="125" t="s">
        <v>6</v>
      </c>
      <c r="M107" s="130"/>
      <c r="N107" s="130" t="s">
        <v>429</v>
      </c>
      <c r="O107" s="130" t="s">
        <v>208</v>
      </c>
      <c r="P107" s="125"/>
      <c r="Q107" s="126">
        <v>45742</v>
      </c>
      <c r="R107" s="126">
        <f t="shared" si="7"/>
        <v>46472</v>
      </c>
      <c r="S107" s="126">
        <v>45742</v>
      </c>
      <c r="T107" s="124">
        <v>1</v>
      </c>
      <c r="U107" s="124">
        <f t="shared" si="8"/>
        <v>12</v>
      </c>
      <c r="V107" s="126">
        <f t="shared" si="9"/>
        <v>46107</v>
      </c>
      <c r="W107" s="124">
        <f t="shared" ca="1" si="12"/>
        <v>-41</v>
      </c>
      <c r="X107" s="124">
        <f t="shared" ca="1" si="10"/>
        <v>1</v>
      </c>
      <c r="Y107" s="124" t="s">
        <v>293</v>
      </c>
      <c r="Z107" s="124" t="s">
        <v>253</v>
      </c>
      <c r="AA107" s="124" t="s">
        <v>429</v>
      </c>
      <c r="AB107" s="124"/>
      <c r="AC107" s="124"/>
      <c r="AD107" s="134"/>
      <c r="AE107" s="124" t="str">
        <f t="shared" ca="1" si="11"/>
        <v>منتهي</v>
      </c>
      <c r="AF107" s="131"/>
    </row>
    <row r="108" spans="1:16280" s="68" customFormat="1" ht="20.149999999999999" customHeight="1">
      <c r="A108" s="129">
        <v>107</v>
      </c>
      <c r="B108" s="125" t="s">
        <v>6</v>
      </c>
      <c r="C108" s="125" t="s">
        <v>6</v>
      </c>
      <c r="D108" s="125" t="s">
        <v>430</v>
      </c>
      <c r="E108" s="125" t="s">
        <v>195</v>
      </c>
      <c r="F108" s="125"/>
      <c r="G108" s="125"/>
      <c r="H108" s="125"/>
      <c r="I108" s="125"/>
      <c r="J108" s="125"/>
      <c r="K108" s="124" t="s">
        <v>367</v>
      </c>
      <c r="L108" s="125" t="s">
        <v>6</v>
      </c>
      <c r="M108" s="130"/>
      <c r="N108" s="130" t="s">
        <v>429</v>
      </c>
      <c r="O108" s="130" t="s">
        <v>208</v>
      </c>
      <c r="P108" s="125"/>
      <c r="Q108" s="126">
        <v>45759</v>
      </c>
      <c r="R108" s="126">
        <f t="shared" si="7"/>
        <v>46489</v>
      </c>
      <c r="S108" s="126">
        <v>45759</v>
      </c>
      <c r="T108" s="124">
        <v>1</v>
      </c>
      <c r="U108" s="124">
        <f t="shared" si="8"/>
        <v>12</v>
      </c>
      <c r="V108" s="126">
        <f t="shared" si="9"/>
        <v>46124</v>
      </c>
      <c r="W108" s="124">
        <f t="shared" ca="1" si="12"/>
        <v>-24</v>
      </c>
      <c r="X108" s="124">
        <f t="shared" ca="1" si="10"/>
        <v>1</v>
      </c>
      <c r="Y108" s="124" t="s">
        <v>293</v>
      </c>
      <c r="Z108" s="124" t="s">
        <v>253</v>
      </c>
      <c r="AA108" s="124" t="s">
        <v>429</v>
      </c>
      <c r="AB108" s="124">
        <v>10100344138</v>
      </c>
      <c r="AC108" s="124"/>
      <c r="AD108" s="134"/>
      <c r="AE108" s="124" t="str">
        <f t="shared" ca="1" si="11"/>
        <v>منتهي</v>
      </c>
      <c r="AF108" s="131"/>
    </row>
    <row r="109" spans="1:16280" s="68" customFormat="1" ht="20.149999999999999" customHeight="1">
      <c r="A109" s="129">
        <v>108</v>
      </c>
      <c r="B109" s="125" t="s">
        <v>6</v>
      </c>
      <c r="C109" s="125" t="s">
        <v>6</v>
      </c>
      <c r="D109" s="125" t="s">
        <v>471</v>
      </c>
      <c r="E109" s="125" t="s">
        <v>195</v>
      </c>
      <c r="F109" s="125" t="s">
        <v>393</v>
      </c>
      <c r="G109" s="125"/>
      <c r="H109" s="125"/>
      <c r="I109" s="125"/>
      <c r="J109" s="125"/>
      <c r="K109" s="124" t="s">
        <v>367</v>
      </c>
      <c r="L109" s="125" t="s">
        <v>6</v>
      </c>
      <c r="M109" s="130"/>
      <c r="N109" s="130" t="s">
        <v>241</v>
      </c>
      <c r="O109" s="130" t="s">
        <v>208</v>
      </c>
      <c r="P109" s="125"/>
      <c r="Q109" s="126">
        <v>45792</v>
      </c>
      <c r="R109" s="126">
        <f t="shared" si="7"/>
        <v>46522</v>
      </c>
      <c r="S109" s="126">
        <v>45792</v>
      </c>
      <c r="T109" s="124">
        <v>1</v>
      </c>
      <c r="U109" s="124">
        <f t="shared" si="8"/>
        <v>12</v>
      </c>
      <c r="V109" s="126">
        <f t="shared" si="9"/>
        <v>46157</v>
      </c>
      <c r="W109" s="124">
        <f t="shared" ca="1" si="12"/>
        <v>9</v>
      </c>
      <c r="X109" s="124">
        <f t="shared" ca="1" si="10"/>
        <v>0</v>
      </c>
      <c r="Y109" s="124" t="s">
        <v>422</v>
      </c>
      <c r="Z109" s="124" t="s">
        <v>252</v>
      </c>
      <c r="AA109" s="124" t="s">
        <v>413</v>
      </c>
      <c r="AB109" s="124">
        <v>11940977762</v>
      </c>
      <c r="AC109" s="124"/>
      <c r="AD109" s="134"/>
      <c r="AE109" s="124" t="str">
        <f t="shared" ca="1" si="11"/>
        <v>ينتهي قريباً</v>
      </c>
      <c r="AF109" s="131"/>
    </row>
    <row r="110" spans="1:16280" s="68" customFormat="1" ht="20.149999999999999" customHeight="1">
      <c r="A110" s="129">
        <v>109</v>
      </c>
      <c r="B110" s="125" t="s">
        <v>6</v>
      </c>
      <c r="C110" s="125" t="s">
        <v>6</v>
      </c>
      <c r="D110" s="125" t="s">
        <v>473</v>
      </c>
      <c r="E110" s="125" t="s">
        <v>195</v>
      </c>
      <c r="F110" s="125"/>
      <c r="G110" s="125"/>
      <c r="H110" s="125"/>
      <c r="I110" s="125"/>
      <c r="J110" s="125"/>
      <c r="K110" s="124" t="s">
        <v>367</v>
      </c>
      <c r="L110" s="125" t="s">
        <v>6</v>
      </c>
      <c r="M110" s="130"/>
      <c r="N110" s="130" t="s">
        <v>429</v>
      </c>
      <c r="O110" s="130" t="s">
        <v>208</v>
      </c>
      <c r="P110" s="125"/>
      <c r="Q110" s="126">
        <v>45795</v>
      </c>
      <c r="R110" s="126">
        <f t="shared" si="7"/>
        <v>46525</v>
      </c>
      <c r="S110" s="126">
        <v>45795</v>
      </c>
      <c r="T110" s="124">
        <v>1</v>
      </c>
      <c r="U110" s="124">
        <f t="shared" si="8"/>
        <v>12</v>
      </c>
      <c r="V110" s="126">
        <f t="shared" si="9"/>
        <v>46160</v>
      </c>
      <c r="W110" s="124">
        <f t="shared" ca="1" si="12"/>
        <v>12</v>
      </c>
      <c r="X110" s="124">
        <f t="shared" ca="1" si="10"/>
        <v>0</v>
      </c>
      <c r="Y110" s="124" t="s">
        <v>293</v>
      </c>
      <c r="Z110" s="124" t="s">
        <v>253</v>
      </c>
      <c r="AA110" s="124" t="s">
        <v>429</v>
      </c>
      <c r="AB110" s="124">
        <v>11911450936</v>
      </c>
      <c r="AC110" s="124"/>
      <c r="AD110" s="134"/>
      <c r="AE110" s="124" t="str">
        <f t="shared" ca="1" si="11"/>
        <v>ينتهي قريباً</v>
      </c>
      <c r="AF110" s="131"/>
    </row>
    <row r="111" spans="1:16280" s="68" customFormat="1" ht="20.149999999999999" customHeight="1">
      <c r="A111" s="129">
        <v>110</v>
      </c>
      <c r="B111" s="125" t="s">
        <v>6</v>
      </c>
      <c r="C111" s="125" t="s">
        <v>6</v>
      </c>
      <c r="D111" s="125" t="s">
        <v>418</v>
      </c>
      <c r="E111" s="125" t="s">
        <v>195</v>
      </c>
      <c r="F111" s="125" t="s">
        <v>477</v>
      </c>
      <c r="G111" s="125"/>
      <c r="H111" s="125"/>
      <c r="I111" s="125"/>
      <c r="J111" s="125"/>
      <c r="K111" s="124" t="s">
        <v>367</v>
      </c>
      <c r="L111" s="125" t="s">
        <v>6</v>
      </c>
      <c r="M111" s="130"/>
      <c r="N111" s="130" t="s">
        <v>241</v>
      </c>
      <c r="O111" s="130" t="s">
        <v>208</v>
      </c>
      <c r="P111" s="125"/>
      <c r="Q111" s="126">
        <v>45809</v>
      </c>
      <c r="R111" s="126">
        <f t="shared" si="7"/>
        <v>46539</v>
      </c>
      <c r="S111" s="126">
        <v>45809</v>
      </c>
      <c r="T111" s="124">
        <v>1</v>
      </c>
      <c r="U111" s="124">
        <f t="shared" si="8"/>
        <v>12</v>
      </c>
      <c r="V111" s="126">
        <f t="shared" si="9"/>
        <v>46174</v>
      </c>
      <c r="W111" s="124">
        <f t="shared" ca="1" si="12"/>
        <v>26</v>
      </c>
      <c r="X111" s="124">
        <f t="shared" ca="1" si="10"/>
        <v>0</v>
      </c>
      <c r="Y111" s="124" t="s">
        <v>293</v>
      </c>
      <c r="Z111" s="124" t="s">
        <v>253</v>
      </c>
      <c r="AA111" s="124" t="s">
        <v>412</v>
      </c>
      <c r="AB111" s="124"/>
      <c r="AC111" s="124"/>
      <c r="AD111" s="134"/>
      <c r="AE111" s="124" t="str">
        <f t="shared" ca="1" si="11"/>
        <v>ينتهي قريباً</v>
      </c>
      <c r="AF111" s="131"/>
    </row>
    <row r="112" spans="1:16280" s="68" customFormat="1" ht="20.149999999999999" customHeight="1">
      <c r="A112" s="129">
        <v>111</v>
      </c>
      <c r="B112" s="125" t="s">
        <v>6</v>
      </c>
      <c r="C112" s="125" t="s">
        <v>6</v>
      </c>
      <c r="D112" s="125" t="s">
        <v>470</v>
      </c>
      <c r="E112" s="125" t="s">
        <v>195</v>
      </c>
      <c r="F112" s="125"/>
      <c r="G112" s="125"/>
      <c r="H112" s="125"/>
      <c r="I112" s="125"/>
      <c r="J112" s="125"/>
      <c r="K112" s="124" t="s">
        <v>367</v>
      </c>
      <c r="L112" s="125" t="s">
        <v>479</v>
      </c>
      <c r="M112" s="130"/>
      <c r="N112" s="130" t="s">
        <v>241</v>
      </c>
      <c r="O112" s="130" t="s">
        <v>208</v>
      </c>
      <c r="P112" s="125"/>
      <c r="Q112" s="126">
        <v>45811</v>
      </c>
      <c r="R112" s="126">
        <f t="shared" si="7"/>
        <v>46541</v>
      </c>
      <c r="S112" s="126">
        <v>45811</v>
      </c>
      <c r="T112" s="124">
        <v>1</v>
      </c>
      <c r="U112" s="124">
        <f t="shared" si="8"/>
        <v>12</v>
      </c>
      <c r="V112" s="126">
        <f t="shared" si="9"/>
        <v>46176</v>
      </c>
      <c r="W112" s="124">
        <f t="shared" ca="1" si="12"/>
        <v>28</v>
      </c>
      <c r="X112" s="124">
        <f t="shared" ca="1" si="10"/>
        <v>0</v>
      </c>
      <c r="Y112" s="124" t="s">
        <v>293</v>
      </c>
      <c r="Z112" s="124" t="s">
        <v>253</v>
      </c>
      <c r="AA112" s="124" t="s">
        <v>412</v>
      </c>
      <c r="AB112" s="124">
        <v>22200830627</v>
      </c>
      <c r="AC112" s="124"/>
      <c r="AD112" s="134"/>
      <c r="AE112" s="124" t="str">
        <f t="shared" ca="1" si="11"/>
        <v>ينتهي قريباً</v>
      </c>
      <c r="AF112" s="131"/>
    </row>
    <row r="113" spans="1:32" s="68" customFormat="1" ht="20.149999999999999" customHeight="1">
      <c r="A113" s="129">
        <v>112</v>
      </c>
      <c r="B113" s="125" t="s">
        <v>6</v>
      </c>
      <c r="C113" s="125" t="s">
        <v>6</v>
      </c>
      <c r="D113" s="125" t="s">
        <v>474</v>
      </c>
      <c r="E113" s="125" t="s">
        <v>195</v>
      </c>
      <c r="F113" s="125" t="s">
        <v>393</v>
      </c>
      <c r="G113" s="125"/>
      <c r="H113" s="125"/>
      <c r="I113" s="125"/>
      <c r="J113" s="125"/>
      <c r="K113" s="124" t="s">
        <v>367</v>
      </c>
      <c r="L113" s="125" t="s">
        <v>6</v>
      </c>
      <c r="M113" s="130"/>
      <c r="N113" s="130" t="s">
        <v>241</v>
      </c>
      <c r="O113" s="130" t="s">
        <v>208</v>
      </c>
      <c r="P113" s="125"/>
      <c r="Q113" s="126">
        <v>45812</v>
      </c>
      <c r="R113" s="126">
        <f t="shared" si="7"/>
        <v>46542</v>
      </c>
      <c r="S113" s="126">
        <v>45812</v>
      </c>
      <c r="T113" s="124">
        <v>1</v>
      </c>
      <c r="U113" s="124">
        <f t="shared" si="8"/>
        <v>12</v>
      </c>
      <c r="V113" s="126">
        <f t="shared" si="9"/>
        <v>46177</v>
      </c>
      <c r="W113" s="124">
        <f t="shared" ca="1" si="12"/>
        <v>29</v>
      </c>
      <c r="X113" s="124">
        <f t="shared" ca="1" si="10"/>
        <v>0</v>
      </c>
      <c r="Y113" s="124" t="s">
        <v>296</v>
      </c>
      <c r="Z113" s="124" t="s">
        <v>252</v>
      </c>
      <c r="AA113" s="124" t="s">
        <v>412</v>
      </c>
      <c r="AB113" s="124">
        <v>12038861965</v>
      </c>
      <c r="AC113" s="124"/>
      <c r="AD113" s="134"/>
      <c r="AE113" s="124" t="str">
        <f t="shared" ca="1" si="11"/>
        <v>ينتهي قريباً</v>
      </c>
      <c r="AF113" s="131"/>
    </row>
    <row r="114" spans="1:32" s="68" customFormat="1" ht="20.149999999999999" customHeight="1">
      <c r="A114" s="129">
        <v>114</v>
      </c>
      <c r="B114" s="125" t="s">
        <v>6</v>
      </c>
      <c r="C114" s="125" t="s">
        <v>6</v>
      </c>
      <c r="D114" s="125" t="s">
        <v>495</v>
      </c>
      <c r="E114" s="125" t="s">
        <v>195</v>
      </c>
      <c r="F114" s="125"/>
      <c r="G114" s="125"/>
      <c r="H114" s="125"/>
      <c r="I114" s="125"/>
      <c r="J114" s="125"/>
      <c r="K114" s="124" t="s">
        <v>367</v>
      </c>
      <c r="L114" s="125" t="s">
        <v>6</v>
      </c>
      <c r="M114" s="130"/>
      <c r="N114" s="130" t="s">
        <v>241</v>
      </c>
      <c r="O114" s="130" t="s">
        <v>208</v>
      </c>
      <c r="P114" s="125"/>
      <c r="Q114" s="126">
        <v>45893</v>
      </c>
      <c r="R114" s="126">
        <f t="shared" si="7"/>
        <v>46623</v>
      </c>
      <c r="S114" s="126">
        <v>45893</v>
      </c>
      <c r="T114" s="124">
        <v>1</v>
      </c>
      <c r="U114" s="124">
        <f t="shared" si="8"/>
        <v>12</v>
      </c>
      <c r="V114" s="126">
        <f t="shared" si="9"/>
        <v>46258</v>
      </c>
      <c r="W114" s="124">
        <f t="shared" ca="1" si="12"/>
        <v>110</v>
      </c>
      <c r="X114" s="124">
        <f t="shared" ca="1" si="10"/>
        <v>0</v>
      </c>
      <c r="Y114" s="124" t="s">
        <v>293</v>
      </c>
      <c r="Z114" s="124" t="s">
        <v>253</v>
      </c>
      <c r="AA114" s="124" t="s">
        <v>412</v>
      </c>
      <c r="AB114" s="124"/>
      <c r="AC114" s="124"/>
      <c r="AD114" s="134"/>
      <c r="AE114" s="124" t="str">
        <f t="shared" ca="1" si="11"/>
        <v>ساري</v>
      </c>
      <c r="AF114" s="131"/>
    </row>
    <row r="115" spans="1:32" s="68" customFormat="1" ht="20.149999999999999" customHeight="1">
      <c r="A115" s="129">
        <v>115</v>
      </c>
      <c r="B115" s="125" t="s">
        <v>6</v>
      </c>
      <c r="C115" s="125" t="s">
        <v>6</v>
      </c>
      <c r="D115" s="125" t="s">
        <v>498</v>
      </c>
      <c r="E115" s="125" t="s">
        <v>195</v>
      </c>
      <c r="F115" s="125"/>
      <c r="G115" s="125"/>
      <c r="H115" s="125"/>
      <c r="I115" s="125"/>
      <c r="J115" s="125"/>
      <c r="K115" s="124" t="s">
        <v>367</v>
      </c>
      <c r="L115" s="125" t="s">
        <v>6</v>
      </c>
      <c r="M115" s="130"/>
      <c r="N115" s="130" t="s">
        <v>241</v>
      </c>
      <c r="O115" s="130" t="s">
        <v>208</v>
      </c>
      <c r="P115" s="125"/>
      <c r="Q115" s="126">
        <v>45897</v>
      </c>
      <c r="R115" s="126">
        <f t="shared" si="7"/>
        <v>46627</v>
      </c>
      <c r="S115" s="126">
        <v>45897</v>
      </c>
      <c r="T115" s="124">
        <v>1</v>
      </c>
      <c r="U115" s="124">
        <f t="shared" si="8"/>
        <v>12</v>
      </c>
      <c r="V115" s="126">
        <f t="shared" si="9"/>
        <v>46262</v>
      </c>
      <c r="W115" s="124">
        <f t="shared" ca="1" si="12"/>
        <v>114</v>
      </c>
      <c r="X115" s="124">
        <f t="shared" ca="1" si="10"/>
        <v>0</v>
      </c>
      <c r="Y115" s="124" t="s">
        <v>293</v>
      </c>
      <c r="Z115" s="124" t="s">
        <v>253</v>
      </c>
      <c r="AA115" s="124" t="s">
        <v>413</v>
      </c>
      <c r="AB115" s="124">
        <v>11236425479</v>
      </c>
      <c r="AC115" s="124"/>
      <c r="AD115" s="134"/>
      <c r="AE115" s="124" t="str">
        <f t="shared" ca="1" si="11"/>
        <v>ساري</v>
      </c>
      <c r="AF115" s="131"/>
    </row>
    <row r="116" spans="1:32" s="68" customFormat="1" ht="19.5" customHeight="1">
      <c r="A116" s="129">
        <v>116</v>
      </c>
      <c r="B116" s="125" t="s">
        <v>6</v>
      </c>
      <c r="C116" s="125" t="s">
        <v>6</v>
      </c>
      <c r="D116" s="125" t="s">
        <v>511</v>
      </c>
      <c r="E116" s="125" t="s">
        <v>195</v>
      </c>
      <c r="F116" s="125"/>
      <c r="G116" s="125"/>
      <c r="H116" s="125"/>
      <c r="I116" s="125"/>
      <c r="J116" s="125"/>
      <c r="K116" s="124" t="s">
        <v>367</v>
      </c>
      <c r="L116" s="125" t="s">
        <v>6</v>
      </c>
      <c r="M116" s="130"/>
      <c r="N116" s="130" t="s">
        <v>241</v>
      </c>
      <c r="O116" s="130" t="s">
        <v>208</v>
      </c>
      <c r="P116" s="125"/>
      <c r="Q116" s="126">
        <v>45971</v>
      </c>
      <c r="R116" s="126">
        <f t="shared" si="7"/>
        <v>46701</v>
      </c>
      <c r="S116" s="126">
        <v>45971</v>
      </c>
      <c r="T116" s="124">
        <v>1</v>
      </c>
      <c r="U116" s="124">
        <f t="shared" si="8"/>
        <v>12</v>
      </c>
      <c r="V116" s="126">
        <f t="shared" si="9"/>
        <v>46336</v>
      </c>
      <c r="W116" s="124">
        <f t="shared" ca="1" si="12"/>
        <v>188</v>
      </c>
      <c r="X116" s="124">
        <f t="shared" ca="1" si="10"/>
        <v>0</v>
      </c>
      <c r="Y116" s="124" t="s">
        <v>293</v>
      </c>
      <c r="Z116" s="124" t="s">
        <v>253</v>
      </c>
      <c r="AA116" s="124" t="s">
        <v>412</v>
      </c>
      <c r="AB116" s="124">
        <v>20464908354</v>
      </c>
      <c r="AC116" s="124"/>
      <c r="AD116" s="134"/>
      <c r="AE116" s="124" t="str">
        <f t="shared" ca="1" si="11"/>
        <v>ساري</v>
      </c>
      <c r="AF116" s="131"/>
    </row>
    <row r="117" spans="1:32" s="68" customFormat="1" ht="19.5" customHeight="1">
      <c r="A117" s="129">
        <v>117</v>
      </c>
      <c r="B117" s="125" t="s">
        <v>6</v>
      </c>
      <c r="C117" s="125" t="s">
        <v>6</v>
      </c>
      <c r="D117" s="125" t="s">
        <v>513</v>
      </c>
      <c r="E117" s="125" t="s">
        <v>195</v>
      </c>
      <c r="F117" s="125"/>
      <c r="G117" s="125"/>
      <c r="H117" s="125"/>
      <c r="I117" s="125"/>
      <c r="J117" s="125"/>
      <c r="K117" s="124" t="s">
        <v>367</v>
      </c>
      <c r="L117" s="125" t="s">
        <v>6</v>
      </c>
      <c r="M117" s="130"/>
      <c r="N117" s="130" t="s">
        <v>234</v>
      </c>
      <c r="O117" s="130" t="s">
        <v>208</v>
      </c>
      <c r="P117" s="125"/>
      <c r="Q117" s="126">
        <v>45978</v>
      </c>
      <c r="R117" s="126">
        <f t="shared" si="7"/>
        <v>46708</v>
      </c>
      <c r="S117" s="126">
        <v>45978</v>
      </c>
      <c r="T117" s="124">
        <v>1</v>
      </c>
      <c r="U117" s="124">
        <f t="shared" si="8"/>
        <v>12</v>
      </c>
      <c r="V117" s="126">
        <f t="shared" si="9"/>
        <v>46343</v>
      </c>
      <c r="W117" s="124">
        <f t="shared" ca="1" si="12"/>
        <v>195</v>
      </c>
      <c r="X117" s="124">
        <f t="shared" ca="1" si="10"/>
        <v>0</v>
      </c>
      <c r="Y117" s="124" t="s">
        <v>293</v>
      </c>
      <c r="Z117" s="124" t="s">
        <v>253</v>
      </c>
      <c r="AA117" s="124" t="s">
        <v>413</v>
      </c>
      <c r="AB117" s="124">
        <v>11981629726</v>
      </c>
      <c r="AC117" s="124"/>
      <c r="AD117" s="134"/>
      <c r="AE117" s="124" t="str">
        <f t="shared" ca="1" si="11"/>
        <v>ساري</v>
      </c>
      <c r="AF117" s="131"/>
    </row>
    <row r="118" spans="1:32" s="68" customFormat="1" ht="19.5" customHeight="1">
      <c r="A118" s="129">
        <v>118</v>
      </c>
      <c r="B118" s="125" t="s">
        <v>6</v>
      </c>
      <c r="C118" s="125" t="s">
        <v>6</v>
      </c>
      <c r="D118" s="125" t="s">
        <v>512</v>
      </c>
      <c r="E118" s="125" t="s">
        <v>195</v>
      </c>
      <c r="F118" s="125"/>
      <c r="G118" s="125"/>
      <c r="H118" s="125"/>
      <c r="I118" s="125"/>
      <c r="J118" s="125"/>
      <c r="K118" s="124" t="s">
        <v>367</v>
      </c>
      <c r="L118" s="125" t="s">
        <v>6</v>
      </c>
      <c r="M118" s="130"/>
      <c r="N118" s="130" t="s">
        <v>234</v>
      </c>
      <c r="O118" s="130" t="s">
        <v>208</v>
      </c>
      <c r="P118" s="125"/>
      <c r="Q118" s="126">
        <v>45978</v>
      </c>
      <c r="R118" s="126">
        <f t="shared" si="7"/>
        <v>46708</v>
      </c>
      <c r="S118" s="126">
        <v>45978</v>
      </c>
      <c r="T118" s="124">
        <v>1</v>
      </c>
      <c r="U118" s="124">
        <f t="shared" si="8"/>
        <v>12</v>
      </c>
      <c r="V118" s="126">
        <f t="shared" si="9"/>
        <v>46343</v>
      </c>
      <c r="W118" s="124">
        <f t="shared" ca="1" si="12"/>
        <v>195</v>
      </c>
      <c r="X118" s="124">
        <f t="shared" ca="1" si="10"/>
        <v>0</v>
      </c>
      <c r="Y118" s="124" t="s">
        <v>293</v>
      </c>
      <c r="Z118" s="124" t="s">
        <v>253</v>
      </c>
      <c r="AA118" s="124" t="s">
        <v>413</v>
      </c>
      <c r="AB118" s="124">
        <v>11289147586</v>
      </c>
      <c r="AC118" s="124"/>
      <c r="AD118" s="134"/>
      <c r="AE118" s="124" t="str">
        <f t="shared" ca="1" si="11"/>
        <v>ساري</v>
      </c>
      <c r="AF118" s="131"/>
    </row>
    <row r="119" spans="1:32" s="68" customFormat="1" ht="19.5" customHeight="1">
      <c r="A119" s="129">
        <v>119</v>
      </c>
      <c r="B119" s="125" t="s">
        <v>6</v>
      </c>
      <c r="C119" s="125" t="s">
        <v>6</v>
      </c>
      <c r="D119" s="125" t="s">
        <v>514</v>
      </c>
      <c r="E119" s="125" t="s">
        <v>197</v>
      </c>
      <c r="F119" s="125"/>
      <c r="G119" s="125"/>
      <c r="H119" s="125"/>
      <c r="I119" s="125"/>
      <c r="J119" s="125"/>
      <c r="K119" s="124" t="s">
        <v>367</v>
      </c>
      <c r="L119" s="125" t="s">
        <v>461</v>
      </c>
      <c r="M119" s="130"/>
      <c r="N119" s="130" t="s">
        <v>241</v>
      </c>
      <c r="O119" s="130" t="s">
        <v>208</v>
      </c>
      <c r="P119" s="125"/>
      <c r="Q119" s="126">
        <v>44986</v>
      </c>
      <c r="R119" s="126">
        <f t="shared" si="7"/>
        <v>45717</v>
      </c>
      <c r="S119" s="126">
        <v>44986</v>
      </c>
      <c r="T119" s="124">
        <v>1</v>
      </c>
      <c r="U119" s="124">
        <f t="shared" si="8"/>
        <v>12</v>
      </c>
      <c r="V119" s="126">
        <f t="shared" si="9"/>
        <v>45352</v>
      </c>
      <c r="W119" s="124">
        <f t="shared" ca="1" si="12"/>
        <v>-796</v>
      </c>
      <c r="X119" s="124">
        <f t="shared" ca="1" si="10"/>
        <v>3</v>
      </c>
      <c r="Y119" s="124" t="s">
        <v>296</v>
      </c>
      <c r="Z119" s="124" t="s">
        <v>253</v>
      </c>
      <c r="AA119" s="124" t="s">
        <v>413</v>
      </c>
      <c r="AB119" s="124"/>
      <c r="AC119" s="124"/>
      <c r="AD119" s="134"/>
      <c r="AE119" s="124" t="str">
        <f t="shared" ca="1" si="11"/>
        <v>منتهي</v>
      </c>
      <c r="AF119" s="131"/>
    </row>
    <row r="120" spans="1:32" s="68" customFormat="1" ht="19.5" customHeight="1">
      <c r="A120" s="129">
        <v>120</v>
      </c>
      <c r="B120" s="125" t="s">
        <v>6</v>
      </c>
      <c r="C120" s="125" t="s">
        <v>6</v>
      </c>
      <c r="D120" s="125" t="s">
        <v>156</v>
      </c>
      <c r="E120" s="125" t="s">
        <v>197</v>
      </c>
      <c r="F120" s="125"/>
      <c r="G120" s="125"/>
      <c r="H120" s="125"/>
      <c r="I120" s="125"/>
      <c r="J120" s="125"/>
      <c r="K120" s="124" t="s">
        <v>367</v>
      </c>
      <c r="L120" s="125" t="s">
        <v>461</v>
      </c>
      <c r="M120" s="130"/>
      <c r="N120" s="130" t="s">
        <v>241</v>
      </c>
      <c r="O120" s="130" t="s">
        <v>208</v>
      </c>
      <c r="P120" s="125"/>
      <c r="Q120" s="126">
        <v>44986</v>
      </c>
      <c r="R120" s="126">
        <f t="shared" si="7"/>
        <v>45717</v>
      </c>
      <c r="S120" s="126">
        <v>44986</v>
      </c>
      <c r="T120" s="124">
        <v>1</v>
      </c>
      <c r="U120" s="124">
        <f t="shared" si="8"/>
        <v>12</v>
      </c>
      <c r="V120" s="126">
        <f t="shared" si="9"/>
        <v>45352</v>
      </c>
      <c r="W120" s="124">
        <f t="shared" ca="1" si="12"/>
        <v>-796</v>
      </c>
      <c r="X120" s="124">
        <f t="shared" ca="1" si="10"/>
        <v>3</v>
      </c>
      <c r="Y120" s="124" t="s">
        <v>296</v>
      </c>
      <c r="Z120" s="124" t="s">
        <v>253</v>
      </c>
      <c r="AA120" s="124" t="s">
        <v>413</v>
      </c>
      <c r="AB120" s="124"/>
      <c r="AC120" s="124"/>
      <c r="AD120" s="134"/>
      <c r="AE120" s="124" t="str">
        <f t="shared" ca="1" si="11"/>
        <v>منتهي</v>
      </c>
      <c r="AF120" s="131"/>
    </row>
    <row r="121" spans="1:32" s="68" customFormat="1" ht="19.5" customHeight="1">
      <c r="A121" s="129">
        <v>121</v>
      </c>
      <c r="B121" s="125" t="s">
        <v>6</v>
      </c>
      <c r="C121" s="125" t="s">
        <v>6</v>
      </c>
      <c r="D121" s="125" t="s">
        <v>518</v>
      </c>
      <c r="E121" s="125" t="s">
        <v>197</v>
      </c>
      <c r="F121" s="125"/>
      <c r="G121" s="125"/>
      <c r="H121" s="125"/>
      <c r="I121" s="125"/>
      <c r="J121" s="125"/>
      <c r="K121" s="124" t="s">
        <v>367</v>
      </c>
      <c r="L121" s="125" t="s">
        <v>461</v>
      </c>
      <c r="M121" s="130"/>
      <c r="N121" s="130" t="s">
        <v>241</v>
      </c>
      <c r="O121" s="130" t="s">
        <v>208</v>
      </c>
      <c r="P121" s="125"/>
      <c r="Q121" s="126">
        <v>44986</v>
      </c>
      <c r="R121" s="126">
        <f t="shared" si="7"/>
        <v>45717</v>
      </c>
      <c r="S121" s="126">
        <v>44986</v>
      </c>
      <c r="T121" s="124">
        <v>1</v>
      </c>
      <c r="U121" s="124">
        <f t="shared" si="8"/>
        <v>12</v>
      </c>
      <c r="V121" s="126">
        <f t="shared" si="9"/>
        <v>45352</v>
      </c>
      <c r="W121" s="124">
        <f t="shared" ca="1" si="12"/>
        <v>-796</v>
      </c>
      <c r="X121" s="124">
        <f t="shared" ca="1" si="10"/>
        <v>3</v>
      </c>
      <c r="Y121" s="124" t="s">
        <v>296</v>
      </c>
      <c r="Z121" s="124" t="s">
        <v>253</v>
      </c>
      <c r="AA121" s="124" t="s">
        <v>413</v>
      </c>
      <c r="AB121" s="124"/>
      <c r="AC121" s="124"/>
      <c r="AD121" s="134"/>
      <c r="AE121" s="124" t="str">
        <f t="shared" ca="1" si="11"/>
        <v>منتهي</v>
      </c>
      <c r="AF121" s="131"/>
    </row>
    <row r="122" spans="1:32" s="68" customFormat="1" ht="19.5" customHeight="1">
      <c r="A122" s="129">
        <v>122</v>
      </c>
      <c r="B122" s="125" t="s">
        <v>6</v>
      </c>
      <c r="C122" s="125" t="s">
        <v>6</v>
      </c>
      <c r="D122" s="125" t="s">
        <v>519</v>
      </c>
      <c r="E122" s="125" t="s">
        <v>197</v>
      </c>
      <c r="F122" s="125"/>
      <c r="G122" s="125"/>
      <c r="H122" s="125"/>
      <c r="I122" s="125"/>
      <c r="J122" s="125"/>
      <c r="K122" s="124" t="s">
        <v>367</v>
      </c>
      <c r="L122" s="125" t="s">
        <v>461</v>
      </c>
      <c r="M122" s="130"/>
      <c r="N122" s="130" t="s">
        <v>241</v>
      </c>
      <c r="O122" s="130" t="s">
        <v>208</v>
      </c>
      <c r="P122" s="125"/>
      <c r="Q122" s="126">
        <v>46049</v>
      </c>
      <c r="R122" s="126">
        <f>EDATE(Q122, 12)</f>
        <v>46414</v>
      </c>
      <c r="S122" s="126">
        <v>44986</v>
      </c>
      <c r="T122" s="124">
        <v>1</v>
      </c>
      <c r="U122" s="124">
        <f t="shared" si="8"/>
        <v>12</v>
      </c>
      <c r="V122" s="126">
        <f t="shared" si="9"/>
        <v>45352</v>
      </c>
      <c r="W122" s="124">
        <f t="shared" ca="1" si="12"/>
        <v>-796</v>
      </c>
      <c r="X122" s="124">
        <f t="shared" ca="1" si="10"/>
        <v>0</v>
      </c>
      <c r="Y122" s="124" t="s">
        <v>296</v>
      </c>
      <c r="Z122" s="124" t="s">
        <v>253</v>
      </c>
      <c r="AA122" s="124" t="s">
        <v>413</v>
      </c>
      <c r="AB122" s="124"/>
      <c r="AC122" s="124"/>
      <c r="AD122" s="134"/>
      <c r="AE122" s="124" t="str">
        <f t="shared" ca="1" si="11"/>
        <v>منتهي</v>
      </c>
      <c r="AF122" s="131"/>
    </row>
    <row r="123" spans="1:32" s="68" customFormat="1" ht="19.5" customHeight="1">
      <c r="A123" s="129">
        <v>123</v>
      </c>
      <c r="B123" s="125" t="s">
        <v>6</v>
      </c>
      <c r="C123" s="125" t="s">
        <v>6</v>
      </c>
      <c r="D123" s="125" t="s">
        <v>527</v>
      </c>
      <c r="E123" s="125" t="s">
        <v>195</v>
      </c>
      <c r="F123" s="125"/>
      <c r="G123" s="125"/>
      <c r="H123" s="125"/>
      <c r="I123" s="125"/>
      <c r="J123" s="125"/>
      <c r="K123" s="124" t="s">
        <v>367</v>
      </c>
      <c r="L123" s="125" t="s">
        <v>6</v>
      </c>
      <c r="M123" s="130"/>
      <c r="N123" s="130" t="s">
        <v>241</v>
      </c>
      <c r="O123" s="130" t="s">
        <v>208</v>
      </c>
      <c r="P123" s="125"/>
      <c r="Q123" s="126">
        <v>46061</v>
      </c>
      <c r="R123" s="126">
        <f>EDATE(Q123, 12)</f>
        <v>46426</v>
      </c>
      <c r="S123" s="126">
        <v>46061</v>
      </c>
      <c r="T123" s="124">
        <v>1</v>
      </c>
      <c r="U123" s="124">
        <f t="shared" si="8"/>
        <v>12</v>
      </c>
      <c r="V123" s="126">
        <f t="shared" si="9"/>
        <v>46426</v>
      </c>
      <c r="W123" s="124">
        <f t="shared" ca="1" si="12"/>
        <v>278</v>
      </c>
      <c r="X123" s="124">
        <f t="shared" ca="1" si="10"/>
        <v>0</v>
      </c>
      <c r="Y123" s="124" t="s">
        <v>296</v>
      </c>
      <c r="Z123" s="124" t="s">
        <v>253</v>
      </c>
      <c r="AA123" s="124" t="s">
        <v>413</v>
      </c>
      <c r="AB123" s="124"/>
      <c r="AC123" s="124"/>
      <c r="AD123" s="134"/>
      <c r="AE123" s="124" t="str">
        <f t="shared" ca="1" si="11"/>
        <v>ساري</v>
      </c>
      <c r="AF123" s="131"/>
    </row>
    <row r="124" spans="1:32" s="68" customFormat="1" ht="19.5" customHeight="1">
      <c r="A124" s="129">
        <v>124</v>
      </c>
      <c r="B124" s="125" t="s">
        <v>6</v>
      </c>
      <c r="C124" s="125" t="s">
        <v>6</v>
      </c>
      <c r="D124" s="125" t="s">
        <v>528</v>
      </c>
      <c r="E124" s="125" t="s">
        <v>195</v>
      </c>
      <c r="F124" s="125"/>
      <c r="G124" s="125"/>
      <c r="H124" s="125"/>
      <c r="I124" s="125"/>
      <c r="J124" s="125"/>
      <c r="K124" s="124" t="s">
        <v>367</v>
      </c>
      <c r="L124" s="125" t="s">
        <v>6</v>
      </c>
      <c r="M124" s="130"/>
      <c r="N124" s="130" t="s">
        <v>241</v>
      </c>
      <c r="O124" s="130" t="s">
        <v>208</v>
      </c>
      <c r="P124" s="125"/>
      <c r="Q124" s="126">
        <v>46061</v>
      </c>
      <c r="R124" s="126">
        <f>EDATE(Q124, 12)</f>
        <v>46426</v>
      </c>
      <c r="S124" s="126">
        <v>46061</v>
      </c>
      <c r="T124" s="124">
        <v>1</v>
      </c>
      <c r="U124" s="124">
        <f t="shared" si="8"/>
        <v>12</v>
      </c>
      <c r="V124" s="126">
        <f t="shared" si="9"/>
        <v>46426</v>
      </c>
      <c r="W124" s="124">
        <f t="shared" ca="1" si="12"/>
        <v>278</v>
      </c>
      <c r="X124" s="124">
        <f t="shared" ca="1" si="10"/>
        <v>0</v>
      </c>
      <c r="Y124" s="124" t="s">
        <v>296</v>
      </c>
      <c r="Z124" s="124" t="s">
        <v>253</v>
      </c>
      <c r="AA124" s="124" t="s">
        <v>413</v>
      </c>
      <c r="AB124" s="124"/>
      <c r="AC124" s="124"/>
      <c r="AD124" s="134"/>
      <c r="AE124" s="124" t="str">
        <f t="shared" ca="1" si="11"/>
        <v>ساري</v>
      </c>
      <c r="AF124" s="131"/>
    </row>
    <row r="125" spans="1:32" s="68" customFormat="1" ht="19.5" customHeight="1">
      <c r="A125" s="129">
        <v>125</v>
      </c>
      <c r="B125" s="125" t="s">
        <v>6</v>
      </c>
      <c r="C125" s="125" t="s">
        <v>6</v>
      </c>
      <c r="D125" s="125" t="s">
        <v>499</v>
      </c>
      <c r="E125" s="125" t="s">
        <v>195</v>
      </c>
      <c r="F125" s="125"/>
      <c r="G125" s="125"/>
      <c r="H125" s="125"/>
      <c r="I125" s="125"/>
      <c r="J125" s="125"/>
      <c r="K125" s="124" t="s">
        <v>367</v>
      </c>
      <c r="L125" s="125" t="s">
        <v>6</v>
      </c>
      <c r="M125" s="130"/>
      <c r="N125" s="130" t="s">
        <v>535</v>
      </c>
      <c r="O125" s="130" t="s">
        <v>208</v>
      </c>
      <c r="P125" s="125"/>
      <c r="Q125" s="126">
        <v>46092</v>
      </c>
      <c r="R125" s="136">
        <v>46092</v>
      </c>
      <c r="S125" s="126">
        <v>46092</v>
      </c>
      <c r="T125" s="124">
        <v>1</v>
      </c>
      <c r="U125" s="124">
        <f t="shared" si="8"/>
        <v>12</v>
      </c>
      <c r="V125" s="126">
        <f t="shared" si="9"/>
        <v>46457</v>
      </c>
      <c r="W125" s="124">
        <f t="shared" ca="1" si="12"/>
        <v>309</v>
      </c>
      <c r="X125" s="129">
        <f t="shared" ca="1" si="10"/>
        <v>0</v>
      </c>
      <c r="Y125" s="124"/>
      <c r="Z125" s="124"/>
      <c r="AA125" s="124"/>
      <c r="AB125" s="124"/>
      <c r="AC125" s="124"/>
      <c r="AD125" s="134"/>
      <c r="AE125" s="129" t="str">
        <f t="shared" ca="1" si="11"/>
        <v>ساري</v>
      </c>
      <c r="AF125" s="131"/>
    </row>
    <row r="126" spans="1:32" s="68" customFormat="1" ht="19.5" customHeight="1">
      <c r="A126" s="129">
        <v>126</v>
      </c>
      <c r="B126" s="125" t="s">
        <v>6</v>
      </c>
      <c r="C126" s="125" t="s">
        <v>6</v>
      </c>
      <c r="D126" s="125" t="s">
        <v>529</v>
      </c>
      <c r="E126" s="125" t="s">
        <v>195</v>
      </c>
      <c r="F126" s="125"/>
      <c r="G126" s="125"/>
      <c r="H126" s="125"/>
      <c r="I126" s="125"/>
      <c r="J126" s="125"/>
      <c r="K126" s="124" t="s">
        <v>367</v>
      </c>
      <c r="L126" s="125" t="s">
        <v>6</v>
      </c>
      <c r="M126" s="130"/>
      <c r="N126" s="130" t="s">
        <v>241</v>
      </c>
      <c r="O126" s="130" t="s">
        <v>208</v>
      </c>
      <c r="P126" s="125"/>
      <c r="Q126" s="126">
        <v>46092</v>
      </c>
      <c r="R126" s="126">
        <v>46092</v>
      </c>
      <c r="S126" s="126">
        <v>46092</v>
      </c>
      <c r="T126" s="124">
        <v>1</v>
      </c>
      <c r="U126" s="124">
        <f t="shared" si="8"/>
        <v>12</v>
      </c>
      <c r="V126" s="126">
        <v>46457</v>
      </c>
      <c r="W126" s="124"/>
      <c r="X126" s="129"/>
      <c r="Y126" s="124"/>
      <c r="Z126" s="124"/>
      <c r="AA126" s="124"/>
      <c r="AB126" s="124"/>
      <c r="AC126" s="124"/>
      <c r="AD126" s="134"/>
      <c r="AE126" s="129"/>
      <c r="AF126" s="131"/>
    </row>
    <row r="127" spans="1:32" s="68" customFormat="1" ht="19.5" customHeight="1">
      <c r="A127" s="129">
        <v>127</v>
      </c>
      <c r="B127" s="125" t="s">
        <v>6</v>
      </c>
      <c r="C127" s="125" t="s">
        <v>6</v>
      </c>
      <c r="D127" s="125" t="s">
        <v>530</v>
      </c>
      <c r="E127" s="125" t="s">
        <v>195</v>
      </c>
      <c r="F127" s="125"/>
      <c r="G127" s="125"/>
      <c r="H127" s="125"/>
      <c r="I127" s="125"/>
      <c r="J127" s="125"/>
      <c r="K127" s="124" t="s">
        <v>367</v>
      </c>
      <c r="L127" s="125" t="s">
        <v>6</v>
      </c>
      <c r="M127" s="130"/>
      <c r="N127" s="130" t="s">
        <v>241</v>
      </c>
      <c r="O127" s="130" t="s">
        <v>208</v>
      </c>
      <c r="P127" s="125"/>
      <c r="Q127" s="126">
        <v>46092</v>
      </c>
      <c r="R127" s="126">
        <v>46092</v>
      </c>
      <c r="S127" s="126">
        <v>46092</v>
      </c>
      <c r="T127" s="124">
        <v>1</v>
      </c>
      <c r="U127" s="124">
        <f t="shared" si="8"/>
        <v>12</v>
      </c>
      <c r="V127" s="126">
        <v>46457</v>
      </c>
      <c r="W127" s="124"/>
      <c r="X127" s="129"/>
      <c r="Y127" s="124"/>
      <c r="Z127" s="124"/>
      <c r="AA127" s="124"/>
      <c r="AB127" s="124"/>
      <c r="AC127" s="124"/>
      <c r="AD127" s="134"/>
      <c r="AE127" s="129"/>
      <c r="AF127" s="131"/>
    </row>
    <row r="128" spans="1:32" s="68" customFormat="1" ht="19.5" customHeight="1">
      <c r="A128" s="129">
        <v>128</v>
      </c>
      <c r="B128" s="125" t="s">
        <v>6</v>
      </c>
      <c r="C128" s="125" t="s">
        <v>6</v>
      </c>
      <c r="D128" s="125" t="s">
        <v>531</v>
      </c>
      <c r="E128" s="125" t="s">
        <v>195</v>
      </c>
      <c r="F128" s="125"/>
      <c r="G128" s="125"/>
      <c r="H128" s="125"/>
      <c r="I128" s="125"/>
      <c r="J128" s="125"/>
      <c r="K128" s="124" t="s">
        <v>367</v>
      </c>
      <c r="L128" s="125" t="s">
        <v>6</v>
      </c>
      <c r="M128" s="130"/>
      <c r="N128" s="130" t="s">
        <v>241</v>
      </c>
      <c r="O128" s="130" t="s">
        <v>208</v>
      </c>
      <c r="P128" s="125"/>
      <c r="Q128" s="126">
        <v>46124</v>
      </c>
      <c r="R128" s="136">
        <v>46124</v>
      </c>
      <c r="S128" s="126">
        <v>46124</v>
      </c>
      <c r="T128" s="124">
        <v>1</v>
      </c>
      <c r="U128" s="124">
        <f t="shared" si="8"/>
        <v>12</v>
      </c>
      <c r="V128" s="126">
        <v>46489</v>
      </c>
      <c r="W128" s="124"/>
      <c r="X128" s="129"/>
      <c r="Y128" s="124"/>
      <c r="Z128" s="124"/>
      <c r="AA128" s="124"/>
      <c r="AB128" s="124"/>
      <c r="AC128" s="124"/>
      <c r="AD128" s="134"/>
      <c r="AE128" s="129"/>
      <c r="AF128" s="131"/>
    </row>
    <row r="129" spans="1:32" s="68" customFormat="1" ht="20.149999999999999" hidden="1" customHeight="1">
      <c r="A129" s="129">
        <v>129</v>
      </c>
      <c r="B129" s="125" t="s">
        <v>329</v>
      </c>
      <c r="C129" s="135" t="s">
        <v>329</v>
      </c>
      <c r="D129" s="125" t="s">
        <v>517</v>
      </c>
      <c r="E129" s="125" t="s">
        <v>195</v>
      </c>
      <c r="F129" s="125"/>
      <c r="G129" s="125"/>
      <c r="H129" s="125"/>
      <c r="I129" s="125"/>
      <c r="J129" s="125"/>
      <c r="K129" s="124" t="s">
        <v>367</v>
      </c>
      <c r="L129" s="125" t="s">
        <v>329</v>
      </c>
      <c r="M129" s="130"/>
      <c r="N129" s="130" t="s">
        <v>241</v>
      </c>
      <c r="O129" s="130" t="s">
        <v>351</v>
      </c>
      <c r="P129" s="125"/>
      <c r="Q129" s="126">
        <v>46034</v>
      </c>
      <c r="R129" s="136">
        <v>46034</v>
      </c>
      <c r="S129" s="136">
        <v>46123</v>
      </c>
      <c r="T129" s="124">
        <v>1</v>
      </c>
      <c r="U129" s="124">
        <f t="shared" si="8"/>
        <v>12</v>
      </c>
      <c r="V129" s="136">
        <v>46123</v>
      </c>
      <c r="W129" s="124">
        <f t="shared" ca="1" si="12"/>
        <v>-25</v>
      </c>
      <c r="X129" s="129">
        <f t="shared" ca="1" si="10"/>
        <v>0</v>
      </c>
      <c r="Y129" s="124" t="s">
        <v>293</v>
      </c>
      <c r="Z129" s="124" t="s">
        <v>253</v>
      </c>
      <c r="AA129" s="124" t="s">
        <v>413</v>
      </c>
      <c r="AB129" s="124"/>
      <c r="AC129" s="124"/>
      <c r="AD129" s="134"/>
      <c r="AE129" s="129" t="str">
        <f t="shared" ca="1" si="11"/>
        <v>منتهي</v>
      </c>
      <c r="AF129" s="131"/>
    </row>
  </sheetData>
  <autoFilter ref="A2:AE129" xr:uid="{00000000-0001-0000-0100-000000000000}">
    <filterColumn colId="11">
      <filters>
        <filter val="رئيس قسم"/>
        <filter val="سائق"/>
        <filter val="عامل"/>
        <filter val="مدير ادارة"/>
        <filter val="مدير عام"/>
        <filter val="مستشار"/>
        <filter val="موظف"/>
      </filters>
    </filterColumn>
    <sortState xmlns:xlrd2="http://schemas.microsoft.com/office/spreadsheetml/2017/richdata2" ref="A53:AE128">
      <sortCondition ref="Q2:Q128"/>
    </sortState>
  </autoFilter>
  <mergeCells count="1">
    <mergeCell ref="A1:D1"/>
  </mergeCells>
  <conditionalFormatting sqref="AE2:AE1048576">
    <cfRule type="containsText" dxfId="69" priority="4" operator="containsText" text="انتهي العقد">
      <formula>NOT(ISERROR(SEARCH("انتهي العقد",AE2)))</formula>
    </cfRule>
  </conditionalFormatting>
  <conditionalFormatting sqref="AE1:AE1048576">
    <cfRule type="containsText" dxfId="68" priority="1" operator="containsText" text="منتهي">
      <formula>NOT(ISERROR(SEARCH("منتهي",AE1)))</formula>
    </cfRule>
    <cfRule type="containsText" dxfId="67" priority="2" operator="containsText" text="ينتهي قريباً">
      <formula>NOT(ISERROR(SEARCH("ينتهي قريباً",AE1)))</formula>
    </cfRule>
    <cfRule type="containsText" dxfId="66" priority="3" operator="containsText" text="ساري">
      <formula>NOT(ISERROR(SEARCH("ساري",AE1)))</formula>
    </cfRule>
  </conditionalFormatting>
  <printOptions horizontalCentered="1"/>
  <pageMargins left="0.70866141732283461" right="0.70866141732283461" top="0.74803040244969377" bottom="0.74803040244969377" header="0.31496062992125984" footer="0.31496062992125984"/>
  <pageSetup paperSize="9" scale="99" orientation="landscape" r:id="rId1"/>
  <colBreaks count="3" manualBreakCount="3">
    <brk id="19" max="1048575" man="1"/>
    <brk id="24" max="1048575" man="1"/>
    <brk id="2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15B-F9E6-4EB1-A2B0-785370054A43}">
  <sheetPr codeName="Sheet102">
    <tabColor rgb="FF00B050"/>
  </sheetPr>
  <dimension ref="A1:I154"/>
  <sheetViews>
    <sheetView rightToLeft="1" view="pageBreakPreview" zoomScale="50" zoomScaleNormal="100" zoomScaleSheetLayoutView="50" workbookViewId="0">
      <selection activeCell="F4" sqref="F4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33.58203125" customWidth="1"/>
    <col min="7" max="7" width="22.58203125" bestFit="1" customWidth="1"/>
    <col min="8" max="8" width="19.33203125" bestFit="1" customWidth="1"/>
  </cols>
  <sheetData>
    <row r="1" spans="1:9" s="15" customFormat="1" ht="65.150000000000006" customHeight="1">
      <c r="A1" s="16"/>
      <c r="B1" s="164" t="s">
        <v>481</v>
      </c>
      <c r="C1" s="164"/>
      <c r="D1" s="164"/>
      <c r="E1" s="164"/>
      <c r="F1" s="164"/>
      <c r="G1" s="164"/>
      <c r="H1" s="164"/>
      <c r="I1" s="16"/>
    </row>
    <row r="2" spans="1:9" s="15" customFormat="1" ht="65.150000000000006" customHeight="1">
      <c r="A2" s="16"/>
      <c r="B2" s="162" t="s">
        <v>0</v>
      </c>
      <c r="C2" s="162" t="s">
        <v>255</v>
      </c>
      <c r="D2" s="163" t="s">
        <v>206</v>
      </c>
      <c r="E2" s="163"/>
      <c r="F2" s="162" t="s">
        <v>480</v>
      </c>
      <c r="G2" s="162" t="s">
        <v>6</v>
      </c>
      <c r="H2" s="162" t="s">
        <v>231</v>
      </c>
      <c r="I2" s="16"/>
    </row>
    <row r="3" spans="1:9" s="15" customFormat="1" ht="57.9" customHeight="1">
      <c r="A3" s="16"/>
      <c r="B3" s="162"/>
      <c r="C3" s="162"/>
      <c r="D3" s="107" t="s">
        <v>281</v>
      </c>
      <c r="E3" s="107" t="s">
        <v>50</v>
      </c>
      <c r="F3" s="162"/>
      <c r="G3" s="162"/>
      <c r="H3" s="162"/>
      <c r="I3" s="16"/>
    </row>
    <row r="4" spans="1:9" s="15" customFormat="1" ht="57.9" customHeight="1">
      <c r="A4" s="16"/>
      <c r="B4" s="31">
        <v>1</v>
      </c>
      <c r="C4" s="32" t="s">
        <v>234</v>
      </c>
      <c r="D4" s="33">
        <f>COUNTIFS(السجل!$M$3:$M$904,"ولاية البحر الأحمر",السجل!$B$3:$B$904,"ضابط")</f>
        <v>4</v>
      </c>
      <c r="E4" s="33">
        <f>COUNTIFS(السجل!$M$3:$M$904,"ولاية البحر الأحمر",السجل!$B$3:$B$904,"صف ضابط")</f>
        <v>2</v>
      </c>
      <c r="F4" s="33">
        <f>COUNTIFS(السجل!$M$3:$M$904,"ولاية البحر الأحمر",السجل!$B$3:$B$904,"متعاقد")</f>
        <v>0</v>
      </c>
      <c r="G4" s="33">
        <f>COUNTIFS(السجل!$M$3:$M$904,"ولاية البحر الأحمر",السجل!$B$3:$B$904,"موظف")</f>
        <v>5</v>
      </c>
      <c r="H4" s="34">
        <f t="shared" ref="H4:H10" si="0">SUM(D4:G4)</f>
        <v>11</v>
      </c>
      <c r="I4" s="16"/>
    </row>
    <row r="5" spans="1:9" s="15" customFormat="1" ht="57.9" customHeight="1">
      <c r="A5" s="16"/>
      <c r="B5" s="35">
        <v>2</v>
      </c>
      <c r="C5" s="36" t="s">
        <v>241</v>
      </c>
      <c r="D5" s="33">
        <f>COUNTIFS(السجل!$M$3:$M$904,"ولاية الخرطوم",السجل!$B$3:$B$904,"ضابط")</f>
        <v>23</v>
      </c>
      <c r="E5" s="33">
        <f>COUNTIFS(السجل!$M$3:$M$904,"ولاية الخرطوم",السجل!$B$3:$B$904,"صف ضابط")</f>
        <v>15</v>
      </c>
      <c r="F5" s="33">
        <f>COUNTIFS(السجل!$M$3:$M$904,"ولاية الخرطوم",السجل!$B$3:$B$904,"متعاقد")</f>
        <v>0</v>
      </c>
      <c r="G5" s="33">
        <f>COUNTIFS(السجل!$M$3:$M$904,"ولاية الخرطوم",السجل!$B$3:$B$904,"موظف")</f>
        <v>61</v>
      </c>
      <c r="H5" s="41">
        <f t="shared" si="0"/>
        <v>99</v>
      </c>
      <c r="I5" s="16"/>
    </row>
    <row r="6" spans="1:9" s="15" customFormat="1" ht="57.9" customHeight="1">
      <c r="A6" s="16"/>
      <c r="B6" s="31">
        <v>3</v>
      </c>
      <c r="C6" s="36" t="s">
        <v>235</v>
      </c>
      <c r="D6" s="33">
        <f>COUNTIFS(السجل!$M$3:$M$904,"ولاية كسلا",السجل!$B$3:$B$904,"ضابط")</f>
        <v>0</v>
      </c>
      <c r="E6" s="33">
        <f>COUNTIFS(السجل!$M$3:$M$904,"ولاية كسلا",السجل!$B$3:$B$904,"صف ضابط")</f>
        <v>1</v>
      </c>
      <c r="F6" s="33">
        <f>COUNTIFS(السجل!$M$3:$M$904,"ولاية كسلا",السجل!$B$3:$B$904,"متعاقد")</f>
        <v>0</v>
      </c>
      <c r="G6" s="33">
        <f>COUNTIFS(السجل!$M$3:$M$904,"ولاية كسلا",السجل!$B$3:$B$904,"موظف")</f>
        <v>0</v>
      </c>
      <c r="H6" s="41">
        <f t="shared" si="0"/>
        <v>1</v>
      </c>
      <c r="I6" s="16"/>
    </row>
    <row r="7" spans="1:9" s="15" customFormat="1" ht="57.9" customHeight="1">
      <c r="A7" s="16"/>
      <c r="B7" s="35">
        <v>4</v>
      </c>
      <c r="C7" s="36" t="s">
        <v>236</v>
      </c>
      <c r="D7" s="33">
        <f>COUNTIFS(السجل!$M$3:$M$904,"ولاية نهر النيل",السجل!$B$3:$B$904,"ضابط")</f>
        <v>0</v>
      </c>
      <c r="E7" s="33">
        <f>COUNTIFS(السجل!$M$3:$M$904,"ولاية نهر النيل",السجل!$B$3:$B$904,"صف ضابط")</f>
        <v>0</v>
      </c>
      <c r="F7" s="33">
        <f>COUNTIFS(السجل!$M$3:$M$904,"ولاية نهر النيل",السجل!$B$3:$B$904,"متعاقد")</f>
        <v>0</v>
      </c>
      <c r="G7" s="33">
        <f>COUNTIFS(السجل!$M$3:$M$904,"ولاية نهر النيل",السجل!$B$3:$B$904,"موظف")</f>
        <v>3</v>
      </c>
      <c r="H7" s="41">
        <f t="shared" si="0"/>
        <v>3</v>
      </c>
      <c r="I7" s="16"/>
    </row>
    <row r="8" spans="1:9" s="15" customFormat="1" ht="57.9" customHeight="1">
      <c r="A8" s="16"/>
      <c r="B8" s="31">
        <v>5</v>
      </c>
      <c r="C8" s="36" t="s">
        <v>238</v>
      </c>
      <c r="D8" s="33">
        <f>COUNTIFS(السجل!$M$3:$M$904,"الولاية الشمالية",السجل!$B$3:$B$904,"ضابط")</f>
        <v>1</v>
      </c>
      <c r="E8" s="33">
        <f>COUNTIFS(السجل!$M$3:$M$904,"الولاية الشمالية",السجل!$B$3:$B$904,"صف ضابط")</f>
        <v>0</v>
      </c>
      <c r="F8" s="33">
        <f>COUNTIFS(السجل!$M$3:$M$904,"الولاية الشمالية",السجل!$B$3:$B$904,"متعاقد")</f>
        <v>0</v>
      </c>
      <c r="G8" s="33">
        <f>COUNTIFS(السجل!$M$3:$M$904,"الولاية الشمالية",السجل!$B$3:$B$904,"موظف")</f>
        <v>1</v>
      </c>
      <c r="H8" s="41">
        <f t="shared" si="0"/>
        <v>2</v>
      </c>
      <c r="I8" s="16"/>
    </row>
    <row r="9" spans="1:9" s="15" customFormat="1" ht="57.9" customHeight="1">
      <c r="A9" s="16"/>
      <c r="B9" s="31">
        <v>7</v>
      </c>
      <c r="C9" s="36" t="s">
        <v>239</v>
      </c>
      <c r="D9" s="33">
        <f>COUNTIFS(السجل!$M$3:$M$904,"ولاية النيل الابيض",السجل!$B$3:$B$904,"ضابط")</f>
        <v>1</v>
      </c>
      <c r="E9" s="33">
        <f>COUNTIFS(السجل!$M$3:$M$904,"ولاية النيل الابيض",السجل!$B$3:$B$904,"صف ضابط")</f>
        <v>0</v>
      </c>
      <c r="F9" s="33">
        <f>COUNTIFS(السجل!$M$3:$M$904,"ولاية النيل الابيض",السجل!$B$3:$B$904,"متعاقد")</f>
        <v>0</v>
      </c>
      <c r="G9" s="33">
        <f>COUNTIFS(السجل!$M$3:$M$904,"ولاية النيل الابيض",السجل!$B$3:$B$904,"موظف")</f>
        <v>1</v>
      </c>
      <c r="H9" s="41">
        <f t="shared" si="0"/>
        <v>2</v>
      </c>
      <c r="I9" s="16"/>
    </row>
    <row r="10" spans="1:9" s="15" customFormat="1" ht="57.9" customHeight="1">
      <c r="A10" s="16"/>
      <c r="B10" s="35">
        <v>8</v>
      </c>
      <c r="C10" s="36" t="s">
        <v>278</v>
      </c>
      <c r="D10" s="33">
        <f>COUNTIFS(السجل!$M$3:$M$904,"ولاية النيل الازرق",السجل!$B$3:$B$904,"ضابط")</f>
        <v>0</v>
      </c>
      <c r="E10" s="33">
        <f>COUNTIFS(السجل!$M$3:$M$904,"ولاية النيل الازرق",السجل!$B$3:$B$904,"صف ضابط")</f>
        <v>0</v>
      </c>
      <c r="F10" s="33">
        <f>COUNTIFS(السجل!$M$3:$M$904,"ولاية النيل الازرق",السجل!$B$3:$B$904,"متعاقد")</f>
        <v>0</v>
      </c>
      <c r="G10" s="33">
        <f>COUNTIFS(السجل!$M$3:$M$904,"ولاية النيل الازرق",السجل!$B$3:$B$904,"موظف")</f>
        <v>1</v>
      </c>
      <c r="H10" s="41">
        <f t="shared" si="0"/>
        <v>1</v>
      </c>
      <c r="I10" s="16"/>
    </row>
    <row r="11" spans="1:9" s="15" customFormat="1" ht="57.9" customHeight="1">
      <c r="A11" s="16"/>
      <c r="B11" s="35">
        <v>10</v>
      </c>
      <c r="C11" s="36" t="s">
        <v>242</v>
      </c>
      <c r="D11" s="33">
        <f>COUNTIFS(السجل!$M$3:$M$904,"ولاية سنار",السجل!$B$3:$B$904,"ضابط")</f>
        <v>0</v>
      </c>
      <c r="E11" s="33">
        <f>COUNTIFS(السجل!$M$3:$M$904,"ولاية سنار",السجل!$B$3:$B$904,"صف ضابط")</f>
        <v>0</v>
      </c>
      <c r="F11" s="33">
        <f>COUNTIFS(السجل!$M$3:$M$904,"ولاية سنار",السجل!$B$3:$B$904,"متعاقد")</f>
        <v>0</v>
      </c>
      <c r="G11" s="33">
        <f>COUNTIFS(السجل!$M$3:$M$904,"ولاية سنار",السجل!$B$3:$B$904,"موظف")</f>
        <v>1</v>
      </c>
      <c r="H11" s="41">
        <f>SUM(D11:G11)</f>
        <v>1</v>
      </c>
      <c r="I11" s="16"/>
    </row>
    <row r="12" spans="1:9" s="15" customFormat="1" ht="57.9" customHeight="1">
      <c r="A12" s="16"/>
      <c r="B12" s="35">
        <v>10</v>
      </c>
      <c r="C12" s="36" t="s">
        <v>237</v>
      </c>
      <c r="D12" s="33">
        <f>COUNTIFS(السجل!$M$3:$M$904,"ولاية الجزيرة",السجل!$B$3:$B$904,"ضابط")</f>
        <v>1</v>
      </c>
      <c r="E12" s="33">
        <f>COUNTIFS(السجل!$M$3:$M$904,"ولاية الجزيرة",السجل!$B$3:$B$904,"صف ضابط")</f>
        <v>0</v>
      </c>
      <c r="F12" s="33">
        <f>COUNTIFS(السجل!$M$3:$M$904,"ولاية الجزيرة",السجل!$B$3:$B$904,"متعاقد")</f>
        <v>0</v>
      </c>
      <c r="G12" s="33">
        <f>COUNTIFS(السجل!$M$3:$M$904,"ولاية الجزيرة",السجل!$B$3:$B$904,"موظف")</f>
        <v>1</v>
      </c>
      <c r="H12" s="41">
        <f>SUM(D12:G12)</f>
        <v>2</v>
      </c>
      <c r="I12" s="16"/>
    </row>
    <row r="13" spans="1:9" s="15" customFormat="1" ht="57.9" customHeight="1">
      <c r="A13" s="16"/>
      <c r="B13" s="35">
        <v>11</v>
      </c>
      <c r="C13" s="36" t="s">
        <v>429</v>
      </c>
      <c r="D13" s="33">
        <f>COUNTIFS(السجل!$M$3:$M$904,"خارج السودان",السجل!$B$3:$B$904,"ضابط")</f>
        <v>1</v>
      </c>
      <c r="E13" s="33">
        <f>COUNTIFS(السجل!$M$3:$M$904,"خارج السودان",السجل!$B$3:$B$904,"صف ضابط")</f>
        <v>0</v>
      </c>
      <c r="F13" s="33">
        <f>COUNTIFS(السجل!$M$3:$M$904,"خارج السودان",السجل!$B$3:$B$904,"متعاقد")</f>
        <v>0</v>
      </c>
      <c r="G13" s="33">
        <f>COUNTIFS(السجل!$M$3:$M$904,"خارج السودان",السجل!$B$3:$B$904,"موظف")</f>
        <v>3</v>
      </c>
      <c r="H13" s="41">
        <f>SUM(D13:G13)</f>
        <v>4</v>
      </c>
      <c r="I13" s="16"/>
    </row>
    <row r="14" spans="1:9" s="15" customFormat="1" ht="57.9" customHeight="1" thickBot="1">
      <c r="A14" s="16"/>
      <c r="B14" s="37"/>
      <c r="C14" s="38" t="s">
        <v>231</v>
      </c>
      <c r="D14" s="39">
        <f>SUM(D4:D13)</f>
        <v>31</v>
      </c>
      <c r="E14" s="39">
        <f>SUM(E4:E13)</f>
        <v>18</v>
      </c>
      <c r="F14" s="39"/>
      <c r="G14" s="39">
        <f>SUM(G4:G13)</f>
        <v>77</v>
      </c>
      <c r="H14" s="40">
        <f>SUM(H4:H13)</f>
        <v>126</v>
      </c>
      <c r="I14" s="16"/>
    </row>
    <row r="15" spans="1:9" ht="57.9" customHeight="1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57.9" customHeight="1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57.9" customHeight="1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57.9" customHeight="1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57.9" customHeight="1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57.9" customHeight="1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57.9" customHeight="1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57.9" customHeight="1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57.9" customHeight="1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57.9" customHeight="1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57.9" customHeight="1">
      <c r="A25" s="16"/>
      <c r="B25" s="16"/>
      <c r="C25" s="16"/>
      <c r="D25" s="16"/>
      <c r="E25" s="16"/>
      <c r="F25" s="16"/>
      <c r="G25" s="16"/>
      <c r="H25" s="16"/>
      <c r="I25" s="16"/>
    </row>
    <row r="26" spans="1:9" ht="57.9" customHeight="1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57.9" customHeight="1">
      <c r="A27" s="16"/>
      <c r="B27" s="16"/>
      <c r="C27" s="16"/>
      <c r="D27" s="16"/>
      <c r="E27" s="16"/>
      <c r="F27" s="16"/>
      <c r="G27" s="16"/>
      <c r="H27" s="16"/>
      <c r="I27" s="16"/>
    </row>
    <row r="28" spans="1:9" ht="57.9" customHeight="1">
      <c r="A28" s="16"/>
      <c r="B28" s="16"/>
      <c r="C28" s="16"/>
      <c r="D28" s="16"/>
      <c r="E28" s="16"/>
      <c r="F28" s="16"/>
      <c r="G28" s="16"/>
      <c r="H28" s="16"/>
      <c r="I28" s="16"/>
    </row>
    <row r="29" spans="1:9" ht="57.9" customHeight="1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57.9" customHeight="1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57.9" customHeight="1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57.9" customHeight="1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57.9" customHeight="1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57.9" customHeight="1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57.9" customHeight="1">
      <c r="A35" s="16"/>
      <c r="B35" s="16"/>
      <c r="C35" s="16"/>
      <c r="D35" s="16"/>
      <c r="E35" s="16"/>
      <c r="F35" s="16"/>
      <c r="G35" s="16"/>
      <c r="H35" s="16"/>
      <c r="I35" s="16"/>
    </row>
    <row r="36" spans="1:9" ht="57.9" customHeight="1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57.9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57.9" customHeight="1">
      <c r="A38" s="16"/>
      <c r="B38" s="16"/>
      <c r="C38" s="16"/>
      <c r="D38" s="16"/>
      <c r="E38" s="16"/>
      <c r="F38" s="16"/>
      <c r="G38" s="16"/>
      <c r="H38" s="16"/>
      <c r="I38" s="16"/>
    </row>
    <row r="39" spans="1:9" ht="57.9" customHeight="1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57.9" customHeight="1">
      <c r="A40" s="16"/>
      <c r="B40" s="16"/>
      <c r="C40" s="16"/>
      <c r="D40" s="16"/>
      <c r="E40" s="16"/>
      <c r="F40" s="16"/>
      <c r="G40" s="16"/>
      <c r="H40" s="16"/>
      <c r="I40" s="16"/>
    </row>
    <row r="41" spans="1:9" ht="57.9" customHeight="1">
      <c r="A41" s="16"/>
      <c r="B41" s="16"/>
      <c r="C41" s="16"/>
      <c r="D41" s="16"/>
      <c r="E41" s="16"/>
      <c r="F41" s="16"/>
      <c r="G41" s="16"/>
      <c r="H41" s="16"/>
      <c r="I41" s="16"/>
    </row>
    <row r="42" spans="1:9" ht="57.9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spans="1:9" ht="57.9" customHeight="1">
      <c r="A43" s="16"/>
      <c r="B43" s="16"/>
      <c r="C43" s="16"/>
      <c r="D43" s="16"/>
      <c r="E43" s="16"/>
      <c r="F43" s="16"/>
      <c r="G43" s="16"/>
      <c r="H43" s="16"/>
      <c r="I43" s="16"/>
    </row>
    <row r="44" spans="1:9" ht="57.9" customHeight="1">
      <c r="A44" s="16"/>
      <c r="B44" s="16"/>
      <c r="C44" s="16"/>
      <c r="D44" s="16"/>
      <c r="E44" s="16"/>
      <c r="F44" s="16"/>
      <c r="G44" s="16"/>
      <c r="H44" s="16"/>
      <c r="I44" s="16"/>
    </row>
    <row r="45" spans="1:9" ht="57.9" customHeight="1">
      <c r="A45" s="16"/>
      <c r="B45" s="16"/>
      <c r="C45" s="16"/>
      <c r="D45" s="16"/>
      <c r="E45" s="16"/>
      <c r="F45" s="16"/>
      <c r="G45" s="16"/>
      <c r="H45" s="16"/>
      <c r="I45" s="16"/>
    </row>
    <row r="46" spans="1:9" ht="57.9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spans="1:9" ht="57.9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spans="1:9" ht="57.9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spans="1:9" ht="57.9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spans="1:9" ht="57.9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spans="1:9" ht="57.9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57.9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spans="1:9" ht="57.9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spans="1:9" ht="57.9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spans="1:9" ht="57.9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spans="1:9" ht="57.9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spans="1:9" ht="57.9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spans="1:9" ht="57.9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spans="1:9" ht="57.9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spans="1:9" ht="57.9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spans="1:9" ht="57.9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spans="1:9" ht="57.9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spans="1:9" ht="57.9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spans="1:9" ht="57.9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57.9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57.9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57.9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57.9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57.9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57.9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57.9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57.9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57.9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9" ht="57.9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9" ht="57.9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9" ht="57.9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9" ht="57.9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9" ht="57.9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9" ht="50.1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9" ht="50.1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50.1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50.1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50.1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50.1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50.1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50.1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50.1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50.1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50.1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spans="1:9" ht="50.1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spans="1:9" ht="50.1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spans="1:9" ht="50.1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spans="1:9" ht="50.1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spans="1:9" ht="50.1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spans="1:9" ht="50.1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spans="1:9" ht="50.1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spans="1:9" ht="50.1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spans="1:9" ht="50.1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spans="1:9" ht="50.1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spans="1:9" ht="50.1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ht="50.1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ht="50.1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ht="50.1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ht="50.1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ht="50.1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ht="50.1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ht="50.1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ht="50.1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ht="50.1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50.1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ht="50.1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ht="50.1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ht="50.1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ht="50.1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ht="50.1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ht="50.1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ht="50.1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ht="50.1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ht="50.1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ht="50.1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50.1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ht="50.1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ht="50.1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ht="50.1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ht="50.1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ht="50.1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ht="50.1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ht="50.1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ht="50.1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ht="50.1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ht="50.1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ht="50.1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ht="50.1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ht="50.1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ht="50.1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ht="50.1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ht="50.1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ht="50.1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ht="50.1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50.1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ht="50.1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ht="50.1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ht="50.1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ht="50.1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ht="50.1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ht="50.1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ht="50.1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ht="50.1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ht="50.1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ht="50.1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ht="50.1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ht="50.1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ht="50.1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ht="50.15" customHeight="1">
      <c r="A154" s="16"/>
      <c r="B154" s="16"/>
      <c r="C154" s="16"/>
      <c r="D154" s="16"/>
      <c r="E154" s="16"/>
      <c r="F154" s="16"/>
      <c r="G154" s="16"/>
      <c r="H154" s="16"/>
      <c r="I154" s="16"/>
    </row>
  </sheetData>
  <sheetProtection formatCells="0" formatColumns="0" formatRows="0" insertColumns="0" insertRows="0" insertHyperlinks="0" deleteColumns="0" deleteRows="0" sort="0" autoFilter="0" pivotTables="0"/>
  <mergeCells count="7">
    <mergeCell ref="F2:F3"/>
    <mergeCell ref="G2:G3"/>
    <mergeCell ref="H2:H3"/>
    <mergeCell ref="D2:E2"/>
    <mergeCell ref="B1:H1"/>
    <mergeCell ref="C2:C3"/>
    <mergeCell ref="B2:B3"/>
  </mergeCells>
  <printOptions horizontalCentered="1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BC7-325A-4B1A-8B80-165D232A356F}">
  <sheetPr codeName="Sheet2">
    <tabColor theme="5" tint="-0.249977111117893"/>
  </sheetPr>
  <dimension ref="A1:D1"/>
  <sheetViews>
    <sheetView rightToLeft="1" workbookViewId="0">
      <selection activeCell="C2" sqref="C2"/>
    </sheetView>
  </sheetViews>
  <sheetFormatPr defaultColWidth="9.08203125" defaultRowHeight="17.5"/>
  <cols>
    <col min="1" max="1" width="12.33203125" style="123" bestFit="1" customWidth="1"/>
    <col min="2" max="2" width="10.58203125" style="123" bestFit="1" customWidth="1"/>
    <col min="3" max="3" width="12.58203125" style="123" bestFit="1" customWidth="1"/>
    <col min="4" max="4" width="16" style="123" bestFit="1" customWidth="1"/>
    <col min="5" max="16384" width="9.08203125" style="123"/>
  </cols>
  <sheetData>
    <row r="1" spans="1:4" s="122" customFormat="1" ht="18">
      <c r="A1" s="122" t="s">
        <v>463</v>
      </c>
      <c r="B1" s="122" t="s">
        <v>464</v>
      </c>
      <c r="C1" s="122" t="s">
        <v>465</v>
      </c>
      <c r="D1" s="122" t="s">
        <v>466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 filterMode="1">
    <tabColor theme="5" tint="-0.249977111117893"/>
  </sheetPr>
  <dimension ref="A1:XBF131"/>
  <sheetViews>
    <sheetView rightToLeft="1" tabSelected="1" view="pageBreakPreview" topLeftCell="P2" zoomScaleNormal="100" zoomScaleSheetLayoutView="100" workbookViewId="0">
      <pane ySplit="1" topLeftCell="A73" activePane="bottomLeft" state="frozen"/>
      <selection activeCell="A2" sqref="A2"/>
      <selection pane="bottomLeft" activeCell="AG80" sqref="AG80"/>
    </sheetView>
  </sheetViews>
  <sheetFormatPr defaultColWidth="9.08203125" defaultRowHeight="60" customHeight="1"/>
  <cols>
    <col min="1" max="1" width="9.08203125" style="61" customWidth="1"/>
    <col min="2" max="2" width="16.08203125" style="102" customWidth="1"/>
    <col min="3" max="3" width="14.6640625" style="102" customWidth="1"/>
    <col min="4" max="4" width="34.33203125" style="61" customWidth="1"/>
    <col min="5" max="5" width="20.9140625" style="60" bestFit="1" customWidth="1"/>
    <col min="6" max="6" width="31" style="102" bestFit="1" customWidth="1"/>
    <col min="7" max="7" width="12" style="102" bestFit="1" customWidth="1"/>
    <col min="8" max="8" width="9.25" style="102" bestFit="1" customWidth="1"/>
    <col min="9" max="9" width="34.9140625" style="102" bestFit="1" customWidth="1"/>
    <col min="10" max="10" width="10.08203125" style="62" bestFit="1" customWidth="1"/>
    <col min="11" max="11" width="10.25" style="102" bestFit="1" customWidth="1"/>
    <col min="12" max="12" width="28.6640625" style="60" bestFit="1" customWidth="1"/>
    <col min="13" max="13" width="17.6640625" style="60" bestFit="1" customWidth="1"/>
    <col min="14" max="14" width="19.6640625" style="60" bestFit="1" customWidth="1"/>
    <col min="15" max="15" width="30.4140625" style="60" bestFit="1" customWidth="1"/>
    <col min="16" max="16" width="14.9140625" style="150" bestFit="1" customWidth="1"/>
    <col min="17" max="17" width="19.9140625" style="150" bestFit="1" customWidth="1"/>
    <col min="18" max="18" width="21" style="60" hidden="1" customWidth="1"/>
    <col min="19" max="19" width="15.33203125" style="60" hidden="1" customWidth="1"/>
    <col min="20" max="20" width="21.4140625" style="60" customWidth="1"/>
    <col min="21" max="21" width="21.25" style="60" hidden="1" customWidth="1"/>
    <col min="22" max="22" width="16.25" style="102" hidden="1" customWidth="1"/>
    <col min="23" max="23" width="15.58203125" style="102" hidden="1" customWidth="1"/>
    <col min="24" max="24" width="14.58203125" style="102" hidden="1" customWidth="1"/>
    <col min="25" max="25" width="19" style="102" hidden="1" customWidth="1"/>
    <col min="26" max="26" width="40.25" style="60" hidden="1" customWidth="1"/>
    <col min="27" max="27" width="19.4140625" style="126" hidden="1" customWidth="1"/>
    <col min="28" max="28" width="17.4140625" style="60" hidden="1" customWidth="1"/>
    <col min="29" max="29" width="26.9140625" style="126" hidden="1" customWidth="1"/>
    <col min="30" max="30" width="26.6640625" style="60" hidden="1" customWidth="1"/>
    <col min="31" max="31" width="36.33203125" style="102" customWidth="1"/>
    <col min="32" max="32" width="18.6640625" style="60" customWidth="1"/>
    <col min="33" max="33" width="13.08203125" style="64" customWidth="1"/>
    <col min="34" max="34" width="37.33203125" style="61" bestFit="1" customWidth="1"/>
    <col min="35" max="16384" width="9.08203125" style="61"/>
  </cols>
  <sheetData>
    <row r="1" spans="1:34" ht="37.5" hidden="1" customHeight="1">
      <c r="A1" s="161"/>
      <c r="B1" s="161"/>
      <c r="C1" s="161"/>
      <c r="D1" s="161"/>
    </row>
    <row r="2" spans="1:34" s="149" customFormat="1" ht="25.5" customHeight="1">
      <c r="A2" s="142" t="s">
        <v>0</v>
      </c>
      <c r="B2" s="143" t="s">
        <v>357</v>
      </c>
      <c r="C2" s="143" t="s">
        <v>502</v>
      </c>
      <c r="D2" s="142" t="s">
        <v>256</v>
      </c>
      <c r="E2" s="142" t="s">
        <v>190</v>
      </c>
      <c r="F2" s="143" t="s">
        <v>346</v>
      </c>
      <c r="G2" s="143" t="s">
        <v>483</v>
      </c>
      <c r="H2" s="143" t="s">
        <v>484</v>
      </c>
      <c r="I2" s="143" t="s">
        <v>330</v>
      </c>
      <c r="J2" s="142" t="s">
        <v>280</v>
      </c>
      <c r="K2" s="143" t="s">
        <v>357</v>
      </c>
      <c r="L2" s="142" t="s">
        <v>336</v>
      </c>
      <c r="M2" s="142" t="s">
        <v>233</v>
      </c>
      <c r="N2" s="142" t="s">
        <v>205</v>
      </c>
      <c r="O2" s="142" t="s">
        <v>558</v>
      </c>
      <c r="P2" s="151" t="s">
        <v>507</v>
      </c>
      <c r="Q2" s="151" t="s">
        <v>504</v>
      </c>
      <c r="R2" s="144" t="s">
        <v>272</v>
      </c>
      <c r="S2" s="144" t="s">
        <v>271</v>
      </c>
      <c r="T2" s="144" t="s">
        <v>500</v>
      </c>
      <c r="U2" s="145" t="s">
        <v>270</v>
      </c>
      <c r="V2" s="146" t="s">
        <v>292</v>
      </c>
      <c r="W2" s="146" t="s">
        <v>294</v>
      </c>
      <c r="X2" s="146" t="s">
        <v>542</v>
      </c>
      <c r="Y2" s="146" t="s">
        <v>546</v>
      </c>
      <c r="Z2" s="148" t="s">
        <v>543</v>
      </c>
      <c r="AA2" s="126" t="s">
        <v>545</v>
      </c>
      <c r="AB2" s="147" t="s">
        <v>509</v>
      </c>
      <c r="AC2" s="126" t="s">
        <v>544</v>
      </c>
      <c r="AD2" s="147" t="s">
        <v>578</v>
      </c>
      <c r="AE2" s="146" t="s">
        <v>579</v>
      </c>
      <c r="AF2" s="147" t="s">
        <v>352</v>
      </c>
      <c r="AG2" s="142" t="s">
        <v>462</v>
      </c>
      <c r="AH2" s="142" t="s">
        <v>330</v>
      </c>
    </row>
    <row r="3" spans="1:34" s="67" customFormat="1" ht="20.149999999999999" hidden="1" customHeight="1">
      <c r="A3" s="129">
        <v>1</v>
      </c>
      <c r="B3" s="125" t="s">
        <v>3</v>
      </c>
      <c r="C3" s="125" t="s">
        <v>4</v>
      </c>
      <c r="D3" s="125" t="s">
        <v>11</v>
      </c>
      <c r="E3" s="125" t="s">
        <v>191</v>
      </c>
      <c r="F3" s="125"/>
      <c r="G3" s="125" t="s">
        <v>485</v>
      </c>
      <c r="H3" s="125"/>
      <c r="I3" s="125"/>
      <c r="J3" s="124" t="s">
        <v>367</v>
      </c>
      <c r="K3" s="125" t="s">
        <v>532</v>
      </c>
      <c r="L3" s="130"/>
      <c r="M3" s="130" t="s">
        <v>241</v>
      </c>
      <c r="N3" s="130" t="s">
        <v>206</v>
      </c>
      <c r="O3" s="125" t="s">
        <v>268</v>
      </c>
      <c r="P3" s="152">
        <v>45369</v>
      </c>
      <c r="Q3" s="152">
        <v>46008</v>
      </c>
      <c r="R3" s="124">
        <v>4</v>
      </c>
      <c r="S3" s="124">
        <f t="shared" ref="S3:S36" si="0">R3*12</f>
        <v>48</v>
      </c>
      <c r="T3" s="126">
        <f t="shared" ref="T3:T36" si="1">EDATE(Q3,S3)</f>
        <v>47469</v>
      </c>
      <c r="U3" s="124">
        <f t="shared" ref="U3:U11" ca="1" si="2">T3-TODAY()</f>
        <v>1321</v>
      </c>
      <c r="V3" s="125" t="s">
        <v>539</v>
      </c>
      <c r="W3" s="125" t="s">
        <v>252</v>
      </c>
      <c r="X3" s="125" t="s">
        <v>413</v>
      </c>
      <c r="Y3" s="125"/>
      <c r="Z3" s="130"/>
      <c r="AA3" s="126"/>
      <c r="AB3" s="124"/>
      <c r="AC3" s="126"/>
      <c r="AD3" s="124"/>
      <c r="AE3" s="125" t="s">
        <v>206</v>
      </c>
      <c r="AF3" s="124"/>
      <c r="AG3" s="124" t="str">
        <f ca="1">IF(T4&lt;TODAY(),"منتهي",
   IF(T4-TODAY()&lt;=30,"ينتهي قريباً",
      IF(DATEDIF(P4,T4,"Y")&gt;=2,"مستديم","ساري")
   )
)</f>
        <v>منتهي</v>
      </c>
      <c r="AH3" s="131"/>
    </row>
    <row r="4" spans="1:34" s="67" customFormat="1" ht="20.149999999999999" hidden="1" customHeight="1">
      <c r="A4" s="129">
        <v>2</v>
      </c>
      <c r="B4" s="125" t="s">
        <v>6</v>
      </c>
      <c r="C4" s="125" t="s">
        <v>9</v>
      </c>
      <c r="D4" s="125" t="s">
        <v>520</v>
      </c>
      <c r="E4" s="125" t="s">
        <v>521</v>
      </c>
      <c r="F4" s="125"/>
      <c r="G4" s="125" t="s">
        <v>522</v>
      </c>
      <c r="H4" s="125"/>
      <c r="I4" s="125"/>
      <c r="J4" s="124" t="s">
        <v>367</v>
      </c>
      <c r="K4" s="125" t="s">
        <v>523</v>
      </c>
      <c r="L4" s="130"/>
      <c r="M4" s="130" t="s">
        <v>241</v>
      </c>
      <c r="N4" s="130" t="s">
        <v>6</v>
      </c>
      <c r="O4" s="125" t="s">
        <v>480</v>
      </c>
      <c r="P4" s="152"/>
      <c r="Q4" s="152"/>
      <c r="R4" s="124"/>
      <c r="S4" s="124"/>
      <c r="T4" s="126"/>
      <c r="U4" s="124"/>
      <c r="V4" s="125" t="s">
        <v>293</v>
      </c>
      <c r="W4" s="125" t="s">
        <v>253</v>
      </c>
      <c r="X4" s="125" t="s">
        <v>413</v>
      </c>
      <c r="Y4" s="125"/>
      <c r="Z4" s="130"/>
      <c r="AA4" s="126"/>
      <c r="AB4" s="124"/>
      <c r="AC4" s="126"/>
      <c r="AD4" s="124"/>
      <c r="AE4" s="125" t="s">
        <v>206</v>
      </c>
      <c r="AF4" s="124"/>
      <c r="AG4" s="124" t="str">
        <f t="shared" ref="AG4:AG67" ca="1" si="3">IF(T5&lt;TODAY(),"منتهي",
   IF(T5-TODAY()&lt;=30,"ينتهي قريباً",
      IF(DATEDIF(P5,T5,"Y")&gt;=2,"مستديم","ساري")
   )
)</f>
        <v>مستديم</v>
      </c>
      <c r="AH4" s="131"/>
    </row>
    <row r="5" spans="1:34" s="67" customFormat="1" ht="20.149999999999999" hidden="1" customHeight="1">
      <c r="A5" s="129">
        <v>3</v>
      </c>
      <c r="B5" s="125" t="s">
        <v>3</v>
      </c>
      <c r="C5" s="125" t="s">
        <v>4</v>
      </c>
      <c r="D5" s="125" t="s">
        <v>13</v>
      </c>
      <c r="E5" s="125" t="s">
        <v>195</v>
      </c>
      <c r="F5" s="125"/>
      <c r="G5" s="125" t="s">
        <v>485</v>
      </c>
      <c r="H5" s="125"/>
      <c r="I5" s="125"/>
      <c r="J5" s="124" t="s">
        <v>367</v>
      </c>
      <c r="K5" s="125" t="s">
        <v>459</v>
      </c>
      <c r="L5" s="130"/>
      <c r="M5" s="130" t="s">
        <v>241</v>
      </c>
      <c r="N5" s="130" t="s">
        <v>206</v>
      </c>
      <c r="O5" s="125" t="s">
        <v>268</v>
      </c>
      <c r="P5" s="152">
        <v>44941</v>
      </c>
      <c r="Q5" s="152">
        <v>45643</v>
      </c>
      <c r="R5" s="124">
        <v>4</v>
      </c>
      <c r="S5" s="124">
        <f t="shared" si="0"/>
        <v>48</v>
      </c>
      <c r="T5" s="126">
        <f t="shared" si="1"/>
        <v>47104</v>
      </c>
      <c r="U5" s="124">
        <f t="shared" ca="1" si="2"/>
        <v>956</v>
      </c>
      <c r="V5" s="125" t="s">
        <v>539</v>
      </c>
      <c r="W5" s="125" t="s">
        <v>252</v>
      </c>
      <c r="X5" s="125" t="s">
        <v>413</v>
      </c>
      <c r="Y5" s="125"/>
      <c r="Z5" s="130"/>
      <c r="AA5" s="126"/>
      <c r="AB5" s="124"/>
      <c r="AC5" s="126"/>
      <c r="AD5" s="124"/>
      <c r="AE5" s="125" t="s">
        <v>206</v>
      </c>
      <c r="AF5" s="124"/>
      <c r="AG5" s="124" t="str">
        <f t="shared" ca="1" si="3"/>
        <v>مستديم</v>
      </c>
      <c r="AH5" s="131"/>
    </row>
    <row r="6" spans="1:34" s="67" customFormat="1" ht="20.149999999999999" hidden="1" customHeight="1">
      <c r="A6" s="129">
        <v>4</v>
      </c>
      <c r="B6" s="125" t="s">
        <v>3</v>
      </c>
      <c r="C6" s="125" t="s">
        <v>12</v>
      </c>
      <c r="D6" s="125" t="s">
        <v>14</v>
      </c>
      <c r="E6" s="125" t="s">
        <v>196</v>
      </c>
      <c r="F6" s="125"/>
      <c r="G6" s="125" t="s">
        <v>486</v>
      </c>
      <c r="H6" s="125"/>
      <c r="I6" s="125"/>
      <c r="J6" s="124" t="s">
        <v>367</v>
      </c>
      <c r="K6" s="125" t="s">
        <v>459</v>
      </c>
      <c r="L6" s="130"/>
      <c r="M6" s="130" t="s">
        <v>241</v>
      </c>
      <c r="N6" s="130" t="s">
        <v>206</v>
      </c>
      <c r="O6" s="125" t="s">
        <v>559</v>
      </c>
      <c r="P6" s="152">
        <v>44636</v>
      </c>
      <c r="Q6" s="152">
        <v>45643</v>
      </c>
      <c r="R6" s="124">
        <v>4</v>
      </c>
      <c r="S6" s="124">
        <f t="shared" si="0"/>
        <v>48</v>
      </c>
      <c r="T6" s="126">
        <f t="shared" si="1"/>
        <v>47104</v>
      </c>
      <c r="U6" s="124">
        <f t="shared" ca="1" si="2"/>
        <v>956</v>
      </c>
      <c r="V6" s="125" t="s">
        <v>539</v>
      </c>
      <c r="W6" s="125" t="s">
        <v>252</v>
      </c>
      <c r="X6" s="125" t="s">
        <v>413</v>
      </c>
      <c r="Y6" s="125"/>
      <c r="Z6" s="130"/>
      <c r="AA6" s="126"/>
      <c r="AB6" s="124"/>
      <c r="AC6" s="126"/>
      <c r="AD6" s="124"/>
      <c r="AE6" s="125" t="s">
        <v>206</v>
      </c>
      <c r="AF6" s="124"/>
      <c r="AG6" s="124" t="str">
        <f t="shared" ca="1" si="3"/>
        <v>مستديم</v>
      </c>
      <c r="AH6" s="131"/>
    </row>
    <row r="7" spans="1:34" s="67" customFormat="1" ht="20.149999999999999" hidden="1" customHeight="1">
      <c r="A7" s="129">
        <v>5</v>
      </c>
      <c r="B7" s="125" t="s">
        <v>3</v>
      </c>
      <c r="C7" s="125" t="s">
        <v>12</v>
      </c>
      <c r="D7" s="125" t="s">
        <v>15</v>
      </c>
      <c r="E7" s="125" t="s">
        <v>194</v>
      </c>
      <c r="F7" s="125"/>
      <c r="G7" s="125" t="s">
        <v>486</v>
      </c>
      <c r="H7" s="125"/>
      <c r="I7" s="125"/>
      <c r="J7" s="124" t="s">
        <v>367</v>
      </c>
      <c r="K7" s="125" t="s">
        <v>459</v>
      </c>
      <c r="L7" s="130"/>
      <c r="M7" s="130" t="s">
        <v>241</v>
      </c>
      <c r="N7" s="130" t="s">
        <v>206</v>
      </c>
      <c r="O7" s="125" t="s">
        <v>269</v>
      </c>
      <c r="P7" s="152">
        <v>44857</v>
      </c>
      <c r="Q7" s="152">
        <v>45643</v>
      </c>
      <c r="R7" s="124">
        <v>4</v>
      </c>
      <c r="S7" s="124">
        <f t="shared" si="0"/>
        <v>48</v>
      </c>
      <c r="T7" s="126">
        <f t="shared" si="1"/>
        <v>47104</v>
      </c>
      <c r="U7" s="124">
        <f t="shared" ca="1" si="2"/>
        <v>956</v>
      </c>
      <c r="V7" s="125" t="s">
        <v>293</v>
      </c>
      <c r="W7" s="125" t="s">
        <v>253</v>
      </c>
      <c r="X7" s="125" t="s">
        <v>413</v>
      </c>
      <c r="Y7" s="125"/>
      <c r="Z7" s="130"/>
      <c r="AA7" s="126"/>
      <c r="AB7" s="124">
        <v>11569032362</v>
      </c>
      <c r="AC7" s="126"/>
      <c r="AD7" s="124"/>
      <c r="AE7" s="125" t="s">
        <v>206</v>
      </c>
      <c r="AF7" s="124"/>
      <c r="AG7" s="124" t="str">
        <f t="shared" ca="1" si="3"/>
        <v>مستديم</v>
      </c>
      <c r="AH7" s="131"/>
    </row>
    <row r="8" spans="1:34" s="67" customFormat="1" ht="20.149999999999999" hidden="1" customHeight="1">
      <c r="A8" s="129">
        <v>6</v>
      </c>
      <c r="B8" s="125" t="s">
        <v>3</v>
      </c>
      <c r="C8" s="125" t="s">
        <v>12</v>
      </c>
      <c r="D8" s="125" t="s">
        <v>16</v>
      </c>
      <c r="E8" s="125" t="s">
        <v>195</v>
      </c>
      <c r="F8" s="125" t="s">
        <v>379</v>
      </c>
      <c r="G8" s="125" t="s">
        <v>486</v>
      </c>
      <c r="H8" s="125"/>
      <c r="I8" s="125"/>
      <c r="J8" s="124" t="s">
        <v>367</v>
      </c>
      <c r="K8" s="125" t="s">
        <v>460</v>
      </c>
      <c r="L8" s="130" t="s">
        <v>337</v>
      </c>
      <c r="M8" s="130" t="s">
        <v>241</v>
      </c>
      <c r="N8" s="130" t="s">
        <v>206</v>
      </c>
      <c r="O8" s="125" t="s">
        <v>268</v>
      </c>
      <c r="P8" s="152">
        <v>44853</v>
      </c>
      <c r="Q8" s="152">
        <v>45643</v>
      </c>
      <c r="R8" s="124">
        <v>4</v>
      </c>
      <c r="S8" s="124">
        <f t="shared" si="0"/>
        <v>48</v>
      </c>
      <c r="T8" s="126">
        <f t="shared" si="1"/>
        <v>47104</v>
      </c>
      <c r="U8" s="124">
        <f t="shared" ca="1" si="2"/>
        <v>956</v>
      </c>
      <c r="V8" s="125" t="s">
        <v>539</v>
      </c>
      <c r="W8" s="125" t="s">
        <v>252</v>
      </c>
      <c r="X8" s="125" t="s">
        <v>413</v>
      </c>
      <c r="Y8" s="125"/>
      <c r="Z8" s="130"/>
      <c r="AA8" s="126"/>
      <c r="AB8" s="124"/>
      <c r="AC8" s="126"/>
      <c r="AD8" s="124"/>
      <c r="AE8" s="125" t="s">
        <v>206</v>
      </c>
      <c r="AF8" s="124"/>
      <c r="AG8" s="124" t="str">
        <f t="shared" ca="1" si="3"/>
        <v>مستديم</v>
      </c>
      <c r="AH8" s="131"/>
    </row>
    <row r="9" spans="1:34" s="67" customFormat="1" ht="20.149999999999999" hidden="1" customHeight="1">
      <c r="A9" s="129">
        <v>7</v>
      </c>
      <c r="B9" s="125" t="s">
        <v>3</v>
      </c>
      <c r="C9" s="125" t="s">
        <v>12</v>
      </c>
      <c r="D9" s="125" t="s">
        <v>18</v>
      </c>
      <c r="E9" s="125" t="s">
        <v>195</v>
      </c>
      <c r="F9" s="125" t="s">
        <v>380</v>
      </c>
      <c r="G9" s="125" t="s">
        <v>486</v>
      </c>
      <c r="H9" s="125"/>
      <c r="I9" s="125"/>
      <c r="J9" s="124" t="s">
        <v>367</v>
      </c>
      <c r="K9" s="125" t="s">
        <v>460</v>
      </c>
      <c r="L9" s="130"/>
      <c r="M9" s="130" t="s">
        <v>241</v>
      </c>
      <c r="N9" s="130" t="s">
        <v>206</v>
      </c>
      <c r="O9" s="125" t="s">
        <v>268</v>
      </c>
      <c r="P9" s="152">
        <v>44972</v>
      </c>
      <c r="Q9" s="152">
        <v>45643</v>
      </c>
      <c r="R9" s="124">
        <v>4</v>
      </c>
      <c r="S9" s="124">
        <f t="shared" si="0"/>
        <v>48</v>
      </c>
      <c r="T9" s="126">
        <f t="shared" si="1"/>
        <v>47104</v>
      </c>
      <c r="U9" s="124">
        <f t="shared" ca="1" si="2"/>
        <v>956</v>
      </c>
      <c r="V9" s="125" t="s">
        <v>293</v>
      </c>
      <c r="W9" s="125" t="s">
        <v>253</v>
      </c>
      <c r="X9" s="125" t="s">
        <v>412</v>
      </c>
      <c r="Y9" s="125"/>
      <c r="Z9" s="130"/>
      <c r="AA9" s="126"/>
      <c r="AB9" s="124"/>
      <c r="AC9" s="126"/>
      <c r="AD9" s="124"/>
      <c r="AE9" s="125" t="s">
        <v>206</v>
      </c>
      <c r="AF9" s="124"/>
      <c r="AG9" s="124" t="str">
        <f t="shared" ca="1" si="3"/>
        <v>مستديم</v>
      </c>
      <c r="AH9" s="131"/>
    </row>
    <row r="10" spans="1:34" s="67" customFormat="1" ht="20.149999999999999" hidden="1" customHeight="1">
      <c r="A10" s="129">
        <v>8</v>
      </c>
      <c r="B10" s="125" t="s">
        <v>3</v>
      </c>
      <c r="C10" s="125" t="s">
        <v>12</v>
      </c>
      <c r="D10" s="125" t="s">
        <v>277</v>
      </c>
      <c r="E10" s="125" t="s">
        <v>195</v>
      </c>
      <c r="F10" s="125"/>
      <c r="G10" s="125" t="s">
        <v>486</v>
      </c>
      <c r="H10" s="125"/>
      <c r="I10" s="125"/>
      <c r="J10" s="124" t="s">
        <v>367</v>
      </c>
      <c r="K10" s="125" t="s">
        <v>6</v>
      </c>
      <c r="L10" s="130"/>
      <c r="M10" s="130" t="s">
        <v>241</v>
      </c>
      <c r="N10" s="130" t="s">
        <v>206</v>
      </c>
      <c r="O10" s="125" t="s">
        <v>268</v>
      </c>
      <c r="P10" s="152">
        <v>44983</v>
      </c>
      <c r="Q10" s="152">
        <v>45643</v>
      </c>
      <c r="R10" s="124">
        <v>4</v>
      </c>
      <c r="S10" s="124">
        <f t="shared" si="0"/>
        <v>48</v>
      </c>
      <c r="T10" s="126">
        <f t="shared" si="1"/>
        <v>47104</v>
      </c>
      <c r="U10" s="124">
        <f t="shared" ca="1" si="2"/>
        <v>956</v>
      </c>
      <c r="V10" s="125" t="s">
        <v>539</v>
      </c>
      <c r="W10" s="125" t="s">
        <v>252</v>
      </c>
      <c r="X10" s="125" t="s">
        <v>413</v>
      </c>
      <c r="Y10" s="125"/>
      <c r="Z10" s="130"/>
      <c r="AA10" s="126"/>
      <c r="AB10" s="124"/>
      <c r="AC10" s="126"/>
      <c r="AD10" s="124"/>
      <c r="AE10" s="125" t="s">
        <v>206</v>
      </c>
      <c r="AF10" s="124"/>
      <c r="AG10" s="124" t="str">
        <f t="shared" ca="1" si="3"/>
        <v>مستديم</v>
      </c>
      <c r="AH10" s="131"/>
    </row>
    <row r="11" spans="1:34" s="67" customFormat="1" ht="20.149999999999999" hidden="1" customHeight="1">
      <c r="A11" s="129">
        <v>9</v>
      </c>
      <c r="B11" s="125" t="s">
        <v>3</v>
      </c>
      <c r="C11" s="125" t="s">
        <v>12</v>
      </c>
      <c r="D11" s="125" t="s">
        <v>370</v>
      </c>
      <c r="E11" s="125" t="s">
        <v>195</v>
      </c>
      <c r="F11" s="125" t="s">
        <v>380</v>
      </c>
      <c r="G11" s="125" t="s">
        <v>486</v>
      </c>
      <c r="H11" s="125"/>
      <c r="I11" s="125"/>
      <c r="J11" s="124" t="s">
        <v>367</v>
      </c>
      <c r="K11" s="125" t="s">
        <v>6</v>
      </c>
      <c r="L11" s="130"/>
      <c r="M11" s="130" t="s">
        <v>241</v>
      </c>
      <c r="N11" s="130" t="s">
        <v>206</v>
      </c>
      <c r="O11" s="125" t="s">
        <v>366</v>
      </c>
      <c r="P11" s="152">
        <v>45566</v>
      </c>
      <c r="Q11" s="152">
        <v>45643</v>
      </c>
      <c r="R11" s="124">
        <v>4</v>
      </c>
      <c r="S11" s="124">
        <f t="shared" si="0"/>
        <v>48</v>
      </c>
      <c r="T11" s="126">
        <f t="shared" si="1"/>
        <v>47104</v>
      </c>
      <c r="U11" s="124">
        <f t="shared" ca="1" si="2"/>
        <v>956</v>
      </c>
      <c r="V11" s="125" t="s">
        <v>539</v>
      </c>
      <c r="W11" s="125" t="s">
        <v>252</v>
      </c>
      <c r="X11" s="125" t="s">
        <v>413</v>
      </c>
      <c r="Y11" s="125"/>
      <c r="Z11" s="130"/>
      <c r="AA11" s="126"/>
      <c r="AB11" s="124"/>
      <c r="AC11" s="126"/>
      <c r="AD11" s="124"/>
      <c r="AE11" s="125" t="s">
        <v>206</v>
      </c>
      <c r="AF11" s="124"/>
      <c r="AG11" s="124" t="str">
        <f t="shared" ca="1" si="3"/>
        <v>مستديم</v>
      </c>
      <c r="AH11" s="131"/>
    </row>
    <row r="12" spans="1:34" s="104" customFormat="1" ht="20.149999999999999" hidden="1" customHeight="1">
      <c r="A12" s="139">
        <v>10</v>
      </c>
      <c r="B12" s="132" t="s">
        <v>3</v>
      </c>
      <c r="C12" s="132" t="s">
        <v>20</v>
      </c>
      <c r="D12" s="132" t="s">
        <v>21</v>
      </c>
      <c r="E12" s="132" t="s">
        <v>194</v>
      </c>
      <c r="F12" s="132" t="s">
        <v>381</v>
      </c>
      <c r="G12" s="132" t="s">
        <v>487</v>
      </c>
      <c r="H12" s="132"/>
      <c r="I12" s="132"/>
      <c r="J12" s="133" t="s">
        <v>367</v>
      </c>
      <c r="K12" s="132" t="s">
        <v>6</v>
      </c>
      <c r="L12" s="138"/>
      <c r="M12" s="138" t="s">
        <v>241</v>
      </c>
      <c r="N12" s="138" t="s">
        <v>209</v>
      </c>
      <c r="O12" s="132" t="s">
        <v>268</v>
      </c>
      <c r="P12" s="153">
        <v>44853</v>
      </c>
      <c r="Q12" s="153">
        <v>44853</v>
      </c>
      <c r="R12" s="133">
        <v>4</v>
      </c>
      <c r="S12" s="133">
        <f t="shared" si="0"/>
        <v>48</v>
      </c>
      <c r="T12" s="140">
        <f t="shared" si="1"/>
        <v>46314</v>
      </c>
      <c r="U12" s="133"/>
      <c r="V12" s="132" t="s">
        <v>293</v>
      </c>
      <c r="W12" s="132" t="s">
        <v>253</v>
      </c>
      <c r="X12" s="132" t="s">
        <v>413</v>
      </c>
      <c r="Y12" s="132"/>
      <c r="Z12" s="138"/>
      <c r="AA12" s="126"/>
      <c r="AB12" s="133"/>
      <c r="AC12" s="126"/>
      <c r="AD12" s="133"/>
      <c r="AE12" s="132" t="s">
        <v>209</v>
      </c>
      <c r="AF12" s="133"/>
      <c r="AG12" s="124" t="str">
        <f t="shared" ca="1" si="3"/>
        <v>مستديم</v>
      </c>
      <c r="AH12" s="141"/>
    </row>
    <row r="13" spans="1:34" s="67" customFormat="1" ht="20.149999999999999" hidden="1" customHeight="1">
      <c r="A13" s="129">
        <v>11</v>
      </c>
      <c r="B13" s="125" t="s">
        <v>3</v>
      </c>
      <c r="C13" s="125" t="s">
        <v>20</v>
      </c>
      <c r="D13" s="125" t="s">
        <v>22</v>
      </c>
      <c r="E13" s="125" t="s">
        <v>194</v>
      </c>
      <c r="F13" s="125" t="s">
        <v>431</v>
      </c>
      <c r="G13" s="125" t="s">
        <v>487</v>
      </c>
      <c r="H13" s="125"/>
      <c r="I13" s="125"/>
      <c r="J13" s="124" t="s">
        <v>367</v>
      </c>
      <c r="K13" s="125" t="s">
        <v>460</v>
      </c>
      <c r="L13" s="130"/>
      <c r="M13" s="130" t="s">
        <v>234</v>
      </c>
      <c r="N13" s="130" t="s">
        <v>206</v>
      </c>
      <c r="O13" s="125" t="s">
        <v>268</v>
      </c>
      <c r="P13" s="152">
        <v>44853</v>
      </c>
      <c r="Q13" s="152">
        <v>45643</v>
      </c>
      <c r="R13" s="124">
        <v>4</v>
      </c>
      <c r="S13" s="124">
        <f t="shared" si="0"/>
        <v>48</v>
      </c>
      <c r="T13" s="126">
        <f t="shared" si="1"/>
        <v>47104</v>
      </c>
      <c r="U13" s="124">
        <f t="shared" ref="U13:U41" ca="1" si="4">T13-TODAY()</f>
        <v>956</v>
      </c>
      <c r="V13" s="125" t="s">
        <v>540</v>
      </c>
      <c r="W13" s="125" t="s">
        <v>252</v>
      </c>
      <c r="X13" s="125" t="s">
        <v>412</v>
      </c>
      <c r="Y13" s="125"/>
      <c r="Z13" s="130"/>
      <c r="AA13" s="126"/>
      <c r="AB13" s="124"/>
      <c r="AC13" s="126"/>
      <c r="AD13" s="124"/>
      <c r="AE13" s="125" t="s">
        <v>206</v>
      </c>
      <c r="AF13" s="124"/>
      <c r="AG13" s="124" t="str">
        <f t="shared" ca="1" si="3"/>
        <v>مستديم</v>
      </c>
      <c r="AH13" s="131"/>
    </row>
    <row r="14" spans="1:34" s="67" customFormat="1" ht="20.149999999999999" hidden="1" customHeight="1">
      <c r="A14" s="129">
        <v>12</v>
      </c>
      <c r="B14" s="125" t="s">
        <v>3</v>
      </c>
      <c r="C14" s="125" t="s">
        <v>20</v>
      </c>
      <c r="D14" s="125" t="s">
        <v>508</v>
      </c>
      <c r="E14" s="125" t="s">
        <v>198</v>
      </c>
      <c r="F14" s="125"/>
      <c r="G14" s="125" t="s">
        <v>487</v>
      </c>
      <c r="H14" s="125"/>
      <c r="I14" s="125"/>
      <c r="J14" s="124" t="s">
        <v>367</v>
      </c>
      <c r="K14" s="125" t="s">
        <v>459</v>
      </c>
      <c r="L14" s="130"/>
      <c r="M14" s="130" t="s">
        <v>234</v>
      </c>
      <c r="N14" s="130" t="s">
        <v>206</v>
      </c>
      <c r="O14" s="125" t="s">
        <v>260</v>
      </c>
      <c r="P14" s="152">
        <v>44853</v>
      </c>
      <c r="Q14" s="152">
        <v>45643</v>
      </c>
      <c r="R14" s="124">
        <v>4</v>
      </c>
      <c r="S14" s="124">
        <f t="shared" si="0"/>
        <v>48</v>
      </c>
      <c r="T14" s="126">
        <f t="shared" si="1"/>
        <v>47104</v>
      </c>
      <c r="U14" s="124">
        <f t="shared" ca="1" si="4"/>
        <v>956</v>
      </c>
      <c r="V14" s="125" t="s">
        <v>293</v>
      </c>
      <c r="W14" s="125" t="s">
        <v>253</v>
      </c>
      <c r="X14" s="125" t="s">
        <v>413</v>
      </c>
      <c r="Y14" s="125"/>
      <c r="Z14" s="130"/>
      <c r="AA14" s="126"/>
      <c r="AB14" s="124"/>
      <c r="AC14" s="126"/>
      <c r="AD14" s="124"/>
      <c r="AE14" s="125" t="s">
        <v>206</v>
      </c>
      <c r="AF14" s="124"/>
      <c r="AG14" s="124" t="str">
        <f t="shared" ca="1" si="3"/>
        <v>مستديم</v>
      </c>
      <c r="AH14" s="131"/>
    </row>
    <row r="15" spans="1:34" s="67" customFormat="1" ht="20.149999999999999" hidden="1" customHeight="1">
      <c r="A15" s="129">
        <v>13</v>
      </c>
      <c r="B15" s="125" t="s">
        <v>3</v>
      </c>
      <c r="C15" s="125" t="s">
        <v>20</v>
      </c>
      <c r="D15" s="125" t="s">
        <v>24</v>
      </c>
      <c r="E15" s="125" t="s">
        <v>195</v>
      </c>
      <c r="F15" s="125" t="s">
        <v>379</v>
      </c>
      <c r="G15" s="125" t="s">
        <v>487</v>
      </c>
      <c r="H15" s="125"/>
      <c r="I15" s="125"/>
      <c r="J15" s="124" t="s">
        <v>367</v>
      </c>
      <c r="K15" s="125" t="s">
        <v>6</v>
      </c>
      <c r="L15" s="130" t="s">
        <v>344</v>
      </c>
      <c r="M15" s="130" t="s">
        <v>238</v>
      </c>
      <c r="N15" s="130" t="s">
        <v>206</v>
      </c>
      <c r="O15" s="125" t="s">
        <v>268</v>
      </c>
      <c r="P15" s="152">
        <v>44346</v>
      </c>
      <c r="Q15" s="152">
        <v>45643</v>
      </c>
      <c r="R15" s="124">
        <v>4</v>
      </c>
      <c r="S15" s="124">
        <f t="shared" si="0"/>
        <v>48</v>
      </c>
      <c r="T15" s="126">
        <f t="shared" si="1"/>
        <v>47104</v>
      </c>
      <c r="U15" s="124">
        <f t="shared" ca="1" si="4"/>
        <v>956</v>
      </c>
      <c r="V15" s="125" t="s">
        <v>293</v>
      </c>
      <c r="W15" s="125" t="s">
        <v>253</v>
      </c>
      <c r="X15" s="125" t="s">
        <v>412</v>
      </c>
      <c r="Y15" s="125"/>
      <c r="Z15" s="130"/>
      <c r="AA15" s="126"/>
      <c r="AB15" s="124"/>
      <c r="AC15" s="126"/>
      <c r="AD15" s="124"/>
      <c r="AE15" s="125" t="s">
        <v>206</v>
      </c>
      <c r="AF15" s="124"/>
      <c r="AG15" s="124" t="str">
        <f t="shared" ca="1" si="3"/>
        <v>مستديم</v>
      </c>
      <c r="AH15" s="131"/>
    </row>
    <row r="16" spans="1:34" s="67" customFormat="1" ht="20.149999999999999" hidden="1" customHeight="1">
      <c r="A16" s="129">
        <v>14</v>
      </c>
      <c r="B16" s="125" t="s">
        <v>3</v>
      </c>
      <c r="C16" s="125" t="s">
        <v>20</v>
      </c>
      <c r="D16" s="125" t="s">
        <v>419</v>
      </c>
      <c r="E16" s="125" t="s">
        <v>195</v>
      </c>
      <c r="F16" s="125" t="s">
        <v>379</v>
      </c>
      <c r="G16" s="125" t="s">
        <v>487</v>
      </c>
      <c r="H16" s="125"/>
      <c r="I16" s="125"/>
      <c r="J16" s="124" t="s">
        <v>367</v>
      </c>
      <c r="K16" s="125" t="s">
        <v>6</v>
      </c>
      <c r="L16" s="130" t="s">
        <v>341</v>
      </c>
      <c r="M16" s="130" t="s">
        <v>241</v>
      </c>
      <c r="N16" s="130" t="s">
        <v>206</v>
      </c>
      <c r="O16" s="125" t="s">
        <v>268</v>
      </c>
      <c r="P16" s="152">
        <v>44853</v>
      </c>
      <c r="Q16" s="152">
        <v>45643</v>
      </c>
      <c r="R16" s="124">
        <v>4</v>
      </c>
      <c r="S16" s="124">
        <f t="shared" si="0"/>
        <v>48</v>
      </c>
      <c r="T16" s="126">
        <f t="shared" si="1"/>
        <v>47104</v>
      </c>
      <c r="U16" s="124">
        <f t="shared" ca="1" si="4"/>
        <v>956</v>
      </c>
      <c r="V16" s="125" t="s">
        <v>293</v>
      </c>
      <c r="W16" s="125" t="s">
        <v>253</v>
      </c>
      <c r="X16" s="125" t="s">
        <v>413</v>
      </c>
      <c r="Y16" s="125"/>
      <c r="Z16" s="130"/>
      <c r="AA16" s="126"/>
      <c r="AB16" s="124">
        <v>11456507103</v>
      </c>
      <c r="AC16" s="126"/>
      <c r="AD16" s="124"/>
      <c r="AE16" s="125" t="s">
        <v>206</v>
      </c>
      <c r="AF16" s="124"/>
      <c r="AG16" s="124" t="str">
        <f t="shared" ca="1" si="3"/>
        <v>مستديم</v>
      </c>
      <c r="AH16" s="131"/>
    </row>
    <row r="17" spans="1:34" s="67" customFormat="1" ht="20.149999999999999" hidden="1" customHeight="1">
      <c r="A17" s="129">
        <v>15</v>
      </c>
      <c r="B17" s="125" t="s">
        <v>3</v>
      </c>
      <c r="C17" s="125" t="s">
        <v>20</v>
      </c>
      <c r="D17" s="125" t="s">
        <v>26</v>
      </c>
      <c r="E17" s="125" t="s">
        <v>195</v>
      </c>
      <c r="F17" s="125" t="s">
        <v>379</v>
      </c>
      <c r="G17" s="125" t="s">
        <v>487</v>
      </c>
      <c r="H17" s="125"/>
      <c r="I17" s="125"/>
      <c r="J17" s="124" t="s">
        <v>367</v>
      </c>
      <c r="K17" s="125" t="s">
        <v>6</v>
      </c>
      <c r="L17" s="130" t="s">
        <v>344</v>
      </c>
      <c r="M17" s="130" t="s">
        <v>239</v>
      </c>
      <c r="N17" s="130" t="s">
        <v>206</v>
      </c>
      <c r="O17" s="125" t="s">
        <v>268</v>
      </c>
      <c r="P17" s="152">
        <v>44903</v>
      </c>
      <c r="Q17" s="152">
        <v>45643</v>
      </c>
      <c r="R17" s="124">
        <v>4</v>
      </c>
      <c r="S17" s="124">
        <f t="shared" si="0"/>
        <v>48</v>
      </c>
      <c r="T17" s="126">
        <f t="shared" si="1"/>
        <v>47104</v>
      </c>
      <c r="U17" s="124">
        <f t="shared" ca="1" si="4"/>
        <v>956</v>
      </c>
      <c r="V17" s="125" t="s">
        <v>293</v>
      </c>
      <c r="W17" s="125" t="s">
        <v>253</v>
      </c>
      <c r="X17" s="125" t="s">
        <v>412</v>
      </c>
      <c r="Y17" s="125"/>
      <c r="Z17" s="130"/>
      <c r="AA17" s="126"/>
      <c r="AB17" s="124">
        <v>10100003103</v>
      </c>
      <c r="AC17" s="126"/>
      <c r="AD17" s="124"/>
      <c r="AE17" s="125" t="s">
        <v>206</v>
      </c>
      <c r="AF17" s="124"/>
      <c r="AG17" s="124" t="str">
        <f t="shared" ca="1" si="3"/>
        <v>مستديم</v>
      </c>
      <c r="AH17" s="131"/>
    </row>
    <row r="18" spans="1:34" s="67" customFormat="1" ht="20.149999999999999" hidden="1" customHeight="1">
      <c r="A18" s="129">
        <v>16</v>
      </c>
      <c r="B18" s="125" t="s">
        <v>3</v>
      </c>
      <c r="C18" s="125" t="s">
        <v>20</v>
      </c>
      <c r="D18" s="125" t="s">
        <v>27</v>
      </c>
      <c r="E18" s="125" t="s">
        <v>195</v>
      </c>
      <c r="F18" s="125" t="s">
        <v>382</v>
      </c>
      <c r="G18" s="125" t="s">
        <v>487</v>
      </c>
      <c r="H18" s="125"/>
      <c r="I18" s="125"/>
      <c r="J18" s="124" t="s">
        <v>367</v>
      </c>
      <c r="K18" s="125" t="s">
        <v>460</v>
      </c>
      <c r="L18" s="130"/>
      <c r="M18" s="130" t="s">
        <v>241</v>
      </c>
      <c r="N18" s="130" t="s">
        <v>206</v>
      </c>
      <c r="O18" s="125" t="s">
        <v>268</v>
      </c>
      <c r="P18" s="152">
        <v>44853</v>
      </c>
      <c r="Q18" s="152">
        <v>45643</v>
      </c>
      <c r="R18" s="124">
        <v>4</v>
      </c>
      <c r="S18" s="124">
        <f t="shared" si="0"/>
        <v>48</v>
      </c>
      <c r="T18" s="126">
        <f t="shared" si="1"/>
        <v>47104</v>
      </c>
      <c r="U18" s="124">
        <f t="shared" ca="1" si="4"/>
        <v>956</v>
      </c>
      <c r="V18" s="125" t="s">
        <v>293</v>
      </c>
      <c r="W18" s="125" t="s">
        <v>253</v>
      </c>
      <c r="X18" s="125" t="s">
        <v>412</v>
      </c>
      <c r="Y18" s="125"/>
      <c r="Z18" s="130"/>
      <c r="AA18" s="126"/>
      <c r="AB18" s="124"/>
      <c r="AC18" s="126"/>
      <c r="AD18" s="124"/>
      <c r="AE18" s="125" t="s">
        <v>206</v>
      </c>
      <c r="AF18" s="124"/>
      <c r="AG18" s="124" t="str">
        <f t="shared" ca="1" si="3"/>
        <v>مستديم</v>
      </c>
      <c r="AH18" s="131"/>
    </row>
    <row r="19" spans="1:34" s="67" customFormat="1" ht="20.149999999999999" hidden="1" customHeight="1">
      <c r="A19" s="129">
        <v>17</v>
      </c>
      <c r="B19" s="125" t="s">
        <v>3</v>
      </c>
      <c r="C19" s="125" t="s">
        <v>20</v>
      </c>
      <c r="D19" s="125" t="s">
        <v>29</v>
      </c>
      <c r="E19" s="125" t="s">
        <v>200</v>
      </c>
      <c r="F19" s="125"/>
      <c r="G19" s="125" t="s">
        <v>487</v>
      </c>
      <c r="H19" s="125"/>
      <c r="I19" s="125"/>
      <c r="J19" s="124" t="s">
        <v>367</v>
      </c>
      <c r="K19" s="125" t="s">
        <v>459</v>
      </c>
      <c r="L19" s="130"/>
      <c r="M19" s="130" t="s">
        <v>241</v>
      </c>
      <c r="N19" s="130" t="s">
        <v>206</v>
      </c>
      <c r="O19" s="125" t="s">
        <v>262</v>
      </c>
      <c r="P19" s="152">
        <v>44881</v>
      </c>
      <c r="Q19" s="152">
        <v>45643</v>
      </c>
      <c r="R19" s="124">
        <v>4</v>
      </c>
      <c r="S19" s="124">
        <f t="shared" si="0"/>
        <v>48</v>
      </c>
      <c r="T19" s="126">
        <f t="shared" si="1"/>
        <v>47104</v>
      </c>
      <c r="U19" s="124">
        <f t="shared" ca="1" si="4"/>
        <v>956</v>
      </c>
      <c r="V19" s="125" t="s">
        <v>293</v>
      </c>
      <c r="W19" s="125" t="s">
        <v>253</v>
      </c>
      <c r="X19" s="125" t="s">
        <v>413</v>
      </c>
      <c r="Y19" s="125"/>
      <c r="Z19" s="130"/>
      <c r="AA19" s="126"/>
      <c r="AB19" s="124"/>
      <c r="AC19" s="126"/>
      <c r="AD19" s="124"/>
      <c r="AE19" s="125" t="s">
        <v>206</v>
      </c>
      <c r="AF19" s="124"/>
      <c r="AG19" s="124" t="str">
        <f t="shared" ca="1" si="3"/>
        <v>مستديم</v>
      </c>
      <c r="AH19" s="131"/>
    </row>
    <row r="20" spans="1:34" s="67" customFormat="1" ht="20.149999999999999" hidden="1" customHeight="1">
      <c r="A20" s="129">
        <v>18</v>
      </c>
      <c r="B20" s="125" t="s">
        <v>3</v>
      </c>
      <c r="C20" s="125" t="s">
        <v>20</v>
      </c>
      <c r="D20" s="125" t="s">
        <v>30</v>
      </c>
      <c r="E20" s="125" t="s">
        <v>194</v>
      </c>
      <c r="F20" s="125" t="s">
        <v>383</v>
      </c>
      <c r="G20" s="125" t="s">
        <v>487</v>
      </c>
      <c r="H20" s="125"/>
      <c r="I20" s="125"/>
      <c r="J20" s="124" t="s">
        <v>367</v>
      </c>
      <c r="K20" s="125" t="s">
        <v>460</v>
      </c>
      <c r="L20" s="130"/>
      <c r="M20" s="130" t="s">
        <v>234</v>
      </c>
      <c r="N20" s="130" t="s">
        <v>206</v>
      </c>
      <c r="O20" s="125" t="s">
        <v>268</v>
      </c>
      <c r="P20" s="152">
        <v>44405</v>
      </c>
      <c r="Q20" s="152">
        <v>45643</v>
      </c>
      <c r="R20" s="124">
        <v>4</v>
      </c>
      <c r="S20" s="124">
        <f t="shared" si="0"/>
        <v>48</v>
      </c>
      <c r="T20" s="126">
        <f t="shared" si="1"/>
        <v>47104</v>
      </c>
      <c r="U20" s="124">
        <f t="shared" ca="1" si="4"/>
        <v>956</v>
      </c>
      <c r="V20" s="125" t="s">
        <v>540</v>
      </c>
      <c r="W20" s="125" t="s">
        <v>252</v>
      </c>
      <c r="X20" s="125" t="s">
        <v>413</v>
      </c>
      <c r="Y20" s="125"/>
      <c r="Z20" s="130"/>
      <c r="AA20" s="126"/>
      <c r="AB20" s="124"/>
      <c r="AC20" s="126"/>
      <c r="AD20" s="124"/>
      <c r="AE20" s="125" t="s">
        <v>206</v>
      </c>
      <c r="AF20" s="124"/>
      <c r="AG20" s="124" t="str">
        <f t="shared" ca="1" si="3"/>
        <v>مستديم</v>
      </c>
      <c r="AH20" s="131"/>
    </row>
    <row r="21" spans="1:34" s="67" customFormat="1" ht="20.149999999999999" hidden="1" customHeight="1">
      <c r="A21" s="129">
        <v>19</v>
      </c>
      <c r="B21" s="125" t="s">
        <v>3</v>
      </c>
      <c r="C21" s="125" t="s">
        <v>20</v>
      </c>
      <c r="D21" s="125" t="s">
        <v>32</v>
      </c>
      <c r="E21" s="125" t="s">
        <v>197</v>
      </c>
      <c r="F21" s="125"/>
      <c r="G21" s="125" t="s">
        <v>487</v>
      </c>
      <c r="H21" s="125"/>
      <c r="I21" s="125"/>
      <c r="J21" s="124" t="s">
        <v>367</v>
      </c>
      <c r="K21" s="125" t="s">
        <v>459</v>
      </c>
      <c r="L21" s="130"/>
      <c r="M21" s="130" t="s">
        <v>241</v>
      </c>
      <c r="N21" s="130" t="s">
        <v>206</v>
      </c>
      <c r="O21" s="125" t="s">
        <v>268</v>
      </c>
      <c r="P21" s="152">
        <v>44630</v>
      </c>
      <c r="Q21" s="152">
        <v>45643</v>
      </c>
      <c r="R21" s="124">
        <v>4</v>
      </c>
      <c r="S21" s="124">
        <f t="shared" si="0"/>
        <v>48</v>
      </c>
      <c r="T21" s="126">
        <f t="shared" si="1"/>
        <v>47104</v>
      </c>
      <c r="U21" s="124">
        <f t="shared" ca="1" si="4"/>
        <v>956</v>
      </c>
      <c r="V21" s="125" t="s">
        <v>539</v>
      </c>
      <c r="W21" s="125" t="s">
        <v>252</v>
      </c>
      <c r="X21" s="125" t="s">
        <v>413</v>
      </c>
      <c r="Y21" s="125"/>
      <c r="Z21" s="130"/>
      <c r="AA21" s="126"/>
      <c r="AB21" s="124">
        <v>11648354855</v>
      </c>
      <c r="AC21" s="126"/>
      <c r="AD21" s="124"/>
      <c r="AE21" s="125" t="s">
        <v>206</v>
      </c>
      <c r="AF21" s="124"/>
      <c r="AG21" s="124" t="str">
        <f t="shared" ca="1" si="3"/>
        <v>مستديم</v>
      </c>
      <c r="AH21" s="131"/>
    </row>
    <row r="22" spans="1:34" s="67" customFormat="1" ht="20.149999999999999" hidden="1" customHeight="1">
      <c r="A22" s="129">
        <v>20</v>
      </c>
      <c r="B22" s="125" t="s">
        <v>3</v>
      </c>
      <c r="C22" s="125" t="s">
        <v>20</v>
      </c>
      <c r="D22" s="125" t="s">
        <v>34</v>
      </c>
      <c r="E22" s="125" t="s">
        <v>195</v>
      </c>
      <c r="F22" s="125" t="s">
        <v>380</v>
      </c>
      <c r="G22" s="125" t="s">
        <v>487</v>
      </c>
      <c r="H22" s="125"/>
      <c r="I22" s="125"/>
      <c r="J22" s="124" t="s">
        <v>367</v>
      </c>
      <c r="K22" s="125" t="s">
        <v>6</v>
      </c>
      <c r="L22" s="130"/>
      <c r="M22" s="130" t="s">
        <v>241</v>
      </c>
      <c r="N22" s="130" t="s">
        <v>206</v>
      </c>
      <c r="O22" s="125" t="s">
        <v>268</v>
      </c>
      <c r="P22" s="152">
        <v>43684</v>
      </c>
      <c r="Q22" s="152">
        <v>45643</v>
      </c>
      <c r="R22" s="124">
        <v>4</v>
      </c>
      <c r="S22" s="124">
        <f t="shared" si="0"/>
        <v>48</v>
      </c>
      <c r="T22" s="126">
        <f t="shared" si="1"/>
        <v>47104</v>
      </c>
      <c r="U22" s="124">
        <f t="shared" ca="1" si="4"/>
        <v>956</v>
      </c>
      <c r="V22" s="125" t="s">
        <v>539</v>
      </c>
      <c r="W22" s="125" t="s">
        <v>252</v>
      </c>
      <c r="X22" s="125" t="s">
        <v>412</v>
      </c>
      <c r="Y22" s="125"/>
      <c r="Z22" s="130"/>
      <c r="AA22" s="126"/>
      <c r="AB22" s="124">
        <v>10100140847</v>
      </c>
      <c r="AC22" s="126"/>
      <c r="AD22" s="124"/>
      <c r="AE22" s="125" t="s">
        <v>206</v>
      </c>
      <c r="AF22" s="124"/>
      <c r="AG22" s="124" t="str">
        <f t="shared" ca="1" si="3"/>
        <v>مستديم</v>
      </c>
      <c r="AH22" s="131"/>
    </row>
    <row r="23" spans="1:34" s="67" customFormat="1" ht="20.149999999999999" hidden="1" customHeight="1">
      <c r="A23" s="129">
        <v>21</v>
      </c>
      <c r="B23" s="125" t="s">
        <v>3</v>
      </c>
      <c r="C23" s="125" t="s">
        <v>20</v>
      </c>
      <c r="D23" s="125" t="s">
        <v>420</v>
      </c>
      <c r="E23" s="125" t="s">
        <v>195</v>
      </c>
      <c r="F23" s="125" t="s">
        <v>380</v>
      </c>
      <c r="G23" s="125" t="s">
        <v>488</v>
      </c>
      <c r="H23" s="125"/>
      <c r="I23" s="125"/>
      <c r="J23" s="124" t="s">
        <v>367</v>
      </c>
      <c r="K23" s="125" t="s">
        <v>6</v>
      </c>
      <c r="L23" s="130"/>
      <c r="M23" s="130" t="s">
        <v>241</v>
      </c>
      <c r="N23" s="130" t="s">
        <v>206</v>
      </c>
      <c r="O23" s="125" t="s">
        <v>268</v>
      </c>
      <c r="P23" s="152">
        <v>44853</v>
      </c>
      <c r="Q23" s="152">
        <v>45643</v>
      </c>
      <c r="R23" s="124">
        <v>4</v>
      </c>
      <c r="S23" s="124">
        <f t="shared" si="0"/>
        <v>48</v>
      </c>
      <c r="T23" s="126">
        <f t="shared" si="1"/>
        <v>47104</v>
      </c>
      <c r="U23" s="124">
        <f t="shared" ca="1" si="4"/>
        <v>956</v>
      </c>
      <c r="V23" s="125" t="s">
        <v>539</v>
      </c>
      <c r="W23" s="125" t="s">
        <v>252</v>
      </c>
      <c r="X23" s="125" t="s">
        <v>413</v>
      </c>
      <c r="Y23" s="125"/>
      <c r="Z23" s="130"/>
      <c r="AA23" s="126"/>
      <c r="AB23" s="124">
        <v>12018913032</v>
      </c>
      <c r="AC23" s="126"/>
      <c r="AD23" s="124"/>
      <c r="AE23" s="125" t="s">
        <v>206</v>
      </c>
      <c r="AF23" s="124"/>
      <c r="AG23" s="124" t="str">
        <f t="shared" ca="1" si="3"/>
        <v>مستديم</v>
      </c>
      <c r="AH23" s="131"/>
    </row>
    <row r="24" spans="1:34" s="67" customFormat="1" ht="20.149999999999999" hidden="1" customHeight="1">
      <c r="A24" s="129">
        <v>22</v>
      </c>
      <c r="B24" s="125" t="s">
        <v>3</v>
      </c>
      <c r="C24" s="125" t="s">
        <v>35</v>
      </c>
      <c r="D24" s="125" t="s">
        <v>36</v>
      </c>
      <c r="E24" s="125" t="s">
        <v>201</v>
      </c>
      <c r="F24" s="125"/>
      <c r="G24" s="125" t="s">
        <v>488</v>
      </c>
      <c r="H24" s="125"/>
      <c r="I24" s="125"/>
      <c r="J24" s="124" t="s">
        <v>367</v>
      </c>
      <c r="K24" s="125" t="s">
        <v>459</v>
      </c>
      <c r="L24" s="130"/>
      <c r="M24" s="130" t="s">
        <v>241</v>
      </c>
      <c r="N24" s="130" t="s">
        <v>206</v>
      </c>
      <c r="O24" s="125" t="s">
        <v>269</v>
      </c>
      <c r="P24" s="152">
        <v>44956</v>
      </c>
      <c r="Q24" s="152">
        <v>45643</v>
      </c>
      <c r="R24" s="124">
        <v>4</v>
      </c>
      <c r="S24" s="124">
        <f t="shared" si="0"/>
        <v>48</v>
      </c>
      <c r="T24" s="126">
        <f t="shared" si="1"/>
        <v>47104</v>
      </c>
      <c r="U24" s="124">
        <f t="shared" ca="1" si="4"/>
        <v>956</v>
      </c>
      <c r="V24" s="125" t="s">
        <v>539</v>
      </c>
      <c r="W24" s="125" t="s">
        <v>252</v>
      </c>
      <c r="X24" s="125" t="s">
        <v>413</v>
      </c>
      <c r="Y24" s="125"/>
      <c r="Z24" s="130"/>
      <c r="AA24" s="126"/>
      <c r="AB24" s="124">
        <v>12030547459</v>
      </c>
      <c r="AC24" s="126"/>
      <c r="AD24" s="124"/>
      <c r="AE24" s="125" t="s">
        <v>206</v>
      </c>
      <c r="AF24" s="124"/>
      <c r="AG24" s="124" t="str">
        <f t="shared" ca="1" si="3"/>
        <v>مستديم</v>
      </c>
      <c r="AH24" s="131"/>
    </row>
    <row r="25" spans="1:34" s="67" customFormat="1" ht="20.149999999999999" hidden="1" customHeight="1">
      <c r="A25" s="129">
        <v>23</v>
      </c>
      <c r="B25" s="125" t="s">
        <v>3</v>
      </c>
      <c r="C25" s="125" t="s">
        <v>35</v>
      </c>
      <c r="D25" s="125" t="s">
        <v>39</v>
      </c>
      <c r="E25" s="125" t="s">
        <v>195</v>
      </c>
      <c r="F25" s="125" t="s">
        <v>379</v>
      </c>
      <c r="G25" s="125" t="s">
        <v>488</v>
      </c>
      <c r="H25" s="125"/>
      <c r="I25" s="125"/>
      <c r="J25" s="124" t="s">
        <v>367</v>
      </c>
      <c r="K25" s="125" t="s">
        <v>6</v>
      </c>
      <c r="L25" s="130" t="s">
        <v>338</v>
      </c>
      <c r="M25" s="130" t="s">
        <v>241</v>
      </c>
      <c r="N25" s="130" t="s">
        <v>206</v>
      </c>
      <c r="O25" s="125" t="s">
        <v>268</v>
      </c>
      <c r="P25" s="152">
        <v>44983</v>
      </c>
      <c r="Q25" s="152">
        <v>45643</v>
      </c>
      <c r="R25" s="124">
        <v>4</v>
      </c>
      <c r="S25" s="124">
        <f t="shared" si="0"/>
        <v>48</v>
      </c>
      <c r="T25" s="126">
        <f t="shared" si="1"/>
        <v>47104</v>
      </c>
      <c r="U25" s="124">
        <f t="shared" ca="1" si="4"/>
        <v>956</v>
      </c>
      <c r="V25" s="125" t="s">
        <v>539</v>
      </c>
      <c r="W25" s="125" t="s">
        <v>252</v>
      </c>
      <c r="X25" s="125" t="s">
        <v>413</v>
      </c>
      <c r="Y25" s="125"/>
      <c r="Z25" s="130"/>
      <c r="AA25" s="126"/>
      <c r="AB25" s="124">
        <v>17723137772</v>
      </c>
      <c r="AC25" s="126"/>
      <c r="AD25" s="124"/>
      <c r="AE25" s="125" t="s">
        <v>206</v>
      </c>
      <c r="AF25" s="124"/>
      <c r="AG25" s="124" t="str">
        <f t="shared" ca="1" si="3"/>
        <v>مستديم</v>
      </c>
      <c r="AH25" s="131"/>
    </row>
    <row r="26" spans="1:34" s="67" customFormat="1" ht="19.5" hidden="1" customHeight="1">
      <c r="A26" s="129">
        <v>24</v>
      </c>
      <c r="B26" s="125" t="s">
        <v>3</v>
      </c>
      <c r="C26" s="125" t="s">
        <v>35</v>
      </c>
      <c r="D26" s="125" t="s">
        <v>37</v>
      </c>
      <c r="E26" s="125" t="s">
        <v>198</v>
      </c>
      <c r="F26" s="125" t="s">
        <v>388</v>
      </c>
      <c r="G26" s="125" t="s">
        <v>488</v>
      </c>
      <c r="H26" s="125"/>
      <c r="I26" s="125"/>
      <c r="J26" s="124" t="s">
        <v>368</v>
      </c>
      <c r="K26" s="125" t="s">
        <v>460</v>
      </c>
      <c r="L26" s="130"/>
      <c r="M26" s="130" t="s">
        <v>241</v>
      </c>
      <c r="N26" s="130" t="s">
        <v>206</v>
      </c>
      <c r="O26" s="125" t="s">
        <v>260</v>
      </c>
      <c r="P26" s="152">
        <v>44906</v>
      </c>
      <c r="Q26" s="152">
        <v>45643</v>
      </c>
      <c r="R26" s="124">
        <v>4</v>
      </c>
      <c r="S26" s="124">
        <f t="shared" si="0"/>
        <v>48</v>
      </c>
      <c r="T26" s="126">
        <f t="shared" si="1"/>
        <v>47104</v>
      </c>
      <c r="U26" s="124">
        <f t="shared" ca="1" si="4"/>
        <v>956</v>
      </c>
      <c r="V26" s="125" t="s">
        <v>293</v>
      </c>
      <c r="W26" s="125" t="s">
        <v>253</v>
      </c>
      <c r="X26" s="125" t="s">
        <v>413</v>
      </c>
      <c r="Y26" s="125"/>
      <c r="Z26" s="130"/>
      <c r="AA26" s="126"/>
      <c r="AB26" s="124"/>
      <c r="AC26" s="126"/>
      <c r="AD26" s="124"/>
      <c r="AE26" s="125" t="s">
        <v>206</v>
      </c>
      <c r="AF26" s="124"/>
      <c r="AG26" s="124" t="str">
        <f t="shared" ca="1" si="3"/>
        <v>مستديم</v>
      </c>
      <c r="AH26" s="131"/>
    </row>
    <row r="27" spans="1:34" s="67" customFormat="1" ht="20.149999999999999" hidden="1" customHeight="1">
      <c r="A27" s="129">
        <v>25</v>
      </c>
      <c r="B27" s="125" t="s">
        <v>3</v>
      </c>
      <c r="C27" s="125" t="s">
        <v>35</v>
      </c>
      <c r="D27" s="125" t="s">
        <v>515</v>
      </c>
      <c r="E27" s="125" t="s">
        <v>195</v>
      </c>
      <c r="F27" s="125" t="s">
        <v>379</v>
      </c>
      <c r="G27" s="125" t="s">
        <v>488</v>
      </c>
      <c r="H27" s="125"/>
      <c r="I27" s="125"/>
      <c r="J27" s="124" t="s">
        <v>368</v>
      </c>
      <c r="K27" s="125" t="s">
        <v>6</v>
      </c>
      <c r="L27" s="130" t="s">
        <v>536</v>
      </c>
      <c r="M27" s="130" t="s">
        <v>234</v>
      </c>
      <c r="N27" s="130" t="s">
        <v>209</v>
      </c>
      <c r="O27" s="125" t="s">
        <v>268</v>
      </c>
      <c r="P27" s="152">
        <v>46021</v>
      </c>
      <c r="Q27" s="152">
        <v>46021</v>
      </c>
      <c r="R27" s="124">
        <v>4</v>
      </c>
      <c r="S27" s="124">
        <f t="shared" ref="S27" si="5">R27*12</f>
        <v>48</v>
      </c>
      <c r="T27" s="126">
        <f t="shared" ref="T27" si="6">EDATE(Q27,S27)</f>
        <v>47482</v>
      </c>
      <c r="U27" s="124">
        <f t="shared" ca="1" si="4"/>
        <v>1334</v>
      </c>
      <c r="V27" s="125" t="s">
        <v>293</v>
      </c>
      <c r="W27" s="125" t="s">
        <v>253</v>
      </c>
      <c r="X27" s="125" t="s">
        <v>413</v>
      </c>
      <c r="Y27" s="125"/>
      <c r="Z27" s="130"/>
      <c r="AA27" s="126"/>
      <c r="AB27" s="124"/>
      <c r="AC27" s="126"/>
      <c r="AD27" s="124"/>
      <c r="AE27" s="125" t="s">
        <v>209</v>
      </c>
      <c r="AF27" s="124"/>
      <c r="AG27" s="124" t="str">
        <f t="shared" ca="1" si="3"/>
        <v>مستديم</v>
      </c>
      <c r="AH27" s="131"/>
    </row>
    <row r="28" spans="1:34" s="67" customFormat="1" ht="20.149999999999999" hidden="1" customHeight="1">
      <c r="A28" s="129">
        <v>26</v>
      </c>
      <c r="B28" s="125" t="s">
        <v>3</v>
      </c>
      <c r="C28" s="125" t="s">
        <v>35</v>
      </c>
      <c r="D28" s="125" t="s">
        <v>41</v>
      </c>
      <c r="E28" s="125" t="s">
        <v>195</v>
      </c>
      <c r="F28" s="125" t="s">
        <v>379</v>
      </c>
      <c r="G28" s="125" t="s">
        <v>488</v>
      </c>
      <c r="H28" s="125"/>
      <c r="I28" s="125"/>
      <c r="J28" s="124" t="s">
        <v>367</v>
      </c>
      <c r="K28" s="125" t="s">
        <v>6</v>
      </c>
      <c r="L28" s="130" t="s">
        <v>338</v>
      </c>
      <c r="M28" s="130" t="s">
        <v>241</v>
      </c>
      <c r="N28" s="130" t="s">
        <v>206</v>
      </c>
      <c r="O28" s="125" t="s">
        <v>268</v>
      </c>
      <c r="P28" s="152">
        <v>44853</v>
      </c>
      <c r="Q28" s="152">
        <v>45643</v>
      </c>
      <c r="R28" s="124">
        <v>4</v>
      </c>
      <c r="S28" s="124">
        <f t="shared" si="0"/>
        <v>48</v>
      </c>
      <c r="T28" s="126">
        <f t="shared" si="1"/>
        <v>47104</v>
      </c>
      <c r="U28" s="124">
        <f t="shared" ca="1" si="4"/>
        <v>956</v>
      </c>
      <c r="V28" s="125" t="s">
        <v>539</v>
      </c>
      <c r="W28" s="125" t="s">
        <v>252</v>
      </c>
      <c r="X28" s="125" t="s">
        <v>413</v>
      </c>
      <c r="Y28" s="125"/>
      <c r="Z28" s="130"/>
      <c r="AA28" s="126"/>
      <c r="AB28" s="124">
        <v>11247184589</v>
      </c>
      <c r="AC28" s="126"/>
      <c r="AD28" s="124"/>
      <c r="AE28" s="125" t="s">
        <v>206</v>
      </c>
      <c r="AF28" s="124"/>
      <c r="AG28" s="124" t="str">
        <f t="shared" ca="1" si="3"/>
        <v>مستديم</v>
      </c>
      <c r="AH28" s="131"/>
    </row>
    <row r="29" spans="1:34" s="67" customFormat="1" ht="20.149999999999999" hidden="1" customHeight="1">
      <c r="A29" s="129">
        <v>27</v>
      </c>
      <c r="B29" s="125" t="s">
        <v>3</v>
      </c>
      <c r="C29" s="125" t="s">
        <v>35</v>
      </c>
      <c r="D29" s="125" t="s">
        <v>47</v>
      </c>
      <c r="E29" s="125" t="s">
        <v>197</v>
      </c>
      <c r="F29" s="125" t="s">
        <v>390</v>
      </c>
      <c r="G29" s="125" t="s">
        <v>488</v>
      </c>
      <c r="H29" s="125"/>
      <c r="I29" s="125"/>
      <c r="J29" s="124" t="s">
        <v>367</v>
      </c>
      <c r="K29" s="125" t="s">
        <v>460</v>
      </c>
      <c r="L29" s="130"/>
      <c r="M29" s="130" t="s">
        <v>241</v>
      </c>
      <c r="N29" s="130" t="s">
        <v>206</v>
      </c>
      <c r="O29" s="125" t="s">
        <v>416</v>
      </c>
      <c r="P29" s="152">
        <v>44903</v>
      </c>
      <c r="Q29" s="152">
        <v>45643</v>
      </c>
      <c r="R29" s="124">
        <v>4</v>
      </c>
      <c r="S29" s="124">
        <f t="shared" si="0"/>
        <v>48</v>
      </c>
      <c r="T29" s="126">
        <f t="shared" si="1"/>
        <v>47104</v>
      </c>
      <c r="U29" s="124">
        <f t="shared" ca="1" si="4"/>
        <v>956</v>
      </c>
      <c r="V29" s="125" t="s">
        <v>539</v>
      </c>
      <c r="W29" s="125" t="s">
        <v>252</v>
      </c>
      <c r="X29" s="125" t="s">
        <v>413</v>
      </c>
      <c r="Y29" s="125"/>
      <c r="Z29" s="130"/>
      <c r="AA29" s="126"/>
      <c r="AB29" s="124">
        <v>11980013851</v>
      </c>
      <c r="AC29" s="126"/>
      <c r="AD29" s="124"/>
      <c r="AE29" s="125" t="s">
        <v>206</v>
      </c>
      <c r="AF29" s="124"/>
      <c r="AG29" s="124" t="str">
        <f t="shared" ca="1" si="3"/>
        <v>مستديم</v>
      </c>
      <c r="AH29" s="131"/>
    </row>
    <row r="30" spans="1:34" s="67" customFormat="1" ht="20.149999999999999" hidden="1" customHeight="1">
      <c r="A30" s="129">
        <v>28</v>
      </c>
      <c r="B30" s="125" t="s">
        <v>3</v>
      </c>
      <c r="C30" s="125" t="s">
        <v>46</v>
      </c>
      <c r="D30" s="125" t="s">
        <v>48</v>
      </c>
      <c r="E30" s="125" t="s">
        <v>195</v>
      </c>
      <c r="F30" s="125" t="s">
        <v>379</v>
      </c>
      <c r="G30" s="125" t="s">
        <v>489</v>
      </c>
      <c r="H30" s="125"/>
      <c r="I30" s="125"/>
      <c r="J30" s="124" t="s">
        <v>367</v>
      </c>
      <c r="K30" s="125" t="s">
        <v>6</v>
      </c>
      <c r="L30" s="130" t="s">
        <v>344</v>
      </c>
      <c r="M30" s="130" t="s">
        <v>241</v>
      </c>
      <c r="N30" s="130" t="s">
        <v>206</v>
      </c>
      <c r="O30" s="125" t="s">
        <v>268</v>
      </c>
      <c r="P30" s="152">
        <v>44565</v>
      </c>
      <c r="Q30" s="152">
        <v>45643</v>
      </c>
      <c r="R30" s="124">
        <v>4</v>
      </c>
      <c r="S30" s="124">
        <f t="shared" si="0"/>
        <v>48</v>
      </c>
      <c r="T30" s="126">
        <f t="shared" si="1"/>
        <v>47104</v>
      </c>
      <c r="U30" s="124">
        <f t="shared" ca="1" si="4"/>
        <v>956</v>
      </c>
      <c r="V30" s="125" t="s">
        <v>293</v>
      </c>
      <c r="W30" s="125" t="s">
        <v>253</v>
      </c>
      <c r="X30" s="125" t="s">
        <v>413</v>
      </c>
      <c r="Y30" s="125"/>
      <c r="Z30" s="130"/>
      <c r="AA30" s="126"/>
      <c r="AB30" s="124">
        <v>11874900599</v>
      </c>
      <c r="AC30" s="126"/>
      <c r="AD30" s="124"/>
      <c r="AE30" s="125" t="s">
        <v>206</v>
      </c>
      <c r="AF30" s="124"/>
      <c r="AG30" s="124" t="str">
        <f t="shared" ca="1" si="3"/>
        <v>مستديم</v>
      </c>
      <c r="AH30" s="131"/>
    </row>
    <row r="31" spans="1:34" s="67" customFormat="1" ht="20.149999999999999" hidden="1" customHeight="1">
      <c r="A31" s="129">
        <v>29</v>
      </c>
      <c r="B31" s="125" t="s">
        <v>3</v>
      </c>
      <c r="C31" s="125" t="s">
        <v>46</v>
      </c>
      <c r="D31" s="125" t="s">
        <v>373</v>
      </c>
      <c r="E31" s="125" t="s">
        <v>195</v>
      </c>
      <c r="F31" s="125" t="s">
        <v>385</v>
      </c>
      <c r="G31" s="125" t="s">
        <v>489</v>
      </c>
      <c r="H31" s="125"/>
      <c r="I31" s="125"/>
      <c r="J31" s="124" t="s">
        <v>367</v>
      </c>
      <c r="K31" s="125" t="s">
        <v>6</v>
      </c>
      <c r="L31" s="130" t="s">
        <v>339</v>
      </c>
      <c r="M31" s="130" t="s">
        <v>241</v>
      </c>
      <c r="N31" s="130" t="s">
        <v>206</v>
      </c>
      <c r="O31" s="125" t="s">
        <v>268</v>
      </c>
      <c r="P31" s="152" t="s">
        <v>327</v>
      </c>
      <c r="Q31" s="152">
        <v>45643</v>
      </c>
      <c r="R31" s="124">
        <v>4</v>
      </c>
      <c r="S31" s="124">
        <f t="shared" si="0"/>
        <v>48</v>
      </c>
      <c r="T31" s="126">
        <f t="shared" si="1"/>
        <v>47104</v>
      </c>
      <c r="U31" s="124">
        <f t="shared" ca="1" si="4"/>
        <v>956</v>
      </c>
      <c r="V31" s="125" t="s">
        <v>539</v>
      </c>
      <c r="W31" s="125" t="s">
        <v>252</v>
      </c>
      <c r="X31" s="125" t="s">
        <v>413</v>
      </c>
      <c r="Y31" s="125"/>
      <c r="Z31" s="130"/>
      <c r="AA31" s="126"/>
      <c r="AB31" s="124">
        <v>11903118551</v>
      </c>
      <c r="AC31" s="126"/>
      <c r="AD31" s="124"/>
      <c r="AE31" s="125" t="s">
        <v>206</v>
      </c>
      <c r="AF31" s="124"/>
      <c r="AG31" s="124" t="str">
        <f t="shared" ca="1" si="3"/>
        <v>مستديم</v>
      </c>
      <c r="AH31" s="131"/>
    </row>
    <row r="32" spans="1:34" s="67" customFormat="1" ht="20.149999999999999" hidden="1" customHeight="1">
      <c r="A32" s="129">
        <v>30</v>
      </c>
      <c r="B32" s="125" t="s">
        <v>3</v>
      </c>
      <c r="C32" s="125" t="s">
        <v>46</v>
      </c>
      <c r="D32" s="125" t="s">
        <v>410</v>
      </c>
      <c r="E32" s="125" t="s">
        <v>195</v>
      </c>
      <c r="F32" s="125" t="s">
        <v>385</v>
      </c>
      <c r="G32" s="125" t="s">
        <v>489</v>
      </c>
      <c r="H32" s="125"/>
      <c r="I32" s="125"/>
      <c r="J32" s="124" t="s">
        <v>367</v>
      </c>
      <c r="K32" s="125" t="s">
        <v>6</v>
      </c>
      <c r="L32" s="130" t="s">
        <v>376</v>
      </c>
      <c r="M32" s="130" t="s">
        <v>429</v>
      </c>
      <c r="N32" s="130" t="s">
        <v>206</v>
      </c>
      <c r="O32" s="125" t="s">
        <v>268</v>
      </c>
      <c r="P32" s="152">
        <v>45643</v>
      </c>
      <c r="Q32" s="152">
        <v>45643</v>
      </c>
      <c r="R32" s="124">
        <v>4</v>
      </c>
      <c r="S32" s="124">
        <f t="shared" si="0"/>
        <v>48</v>
      </c>
      <c r="T32" s="126">
        <f t="shared" si="1"/>
        <v>47104</v>
      </c>
      <c r="U32" s="124">
        <f t="shared" ca="1" si="4"/>
        <v>956</v>
      </c>
      <c r="V32" s="125" t="s">
        <v>293</v>
      </c>
      <c r="W32" s="125" t="s">
        <v>253</v>
      </c>
      <c r="X32" s="125" t="s">
        <v>429</v>
      </c>
      <c r="Y32" s="125"/>
      <c r="Z32" s="130"/>
      <c r="AA32" s="126"/>
      <c r="AB32" s="124"/>
      <c r="AC32" s="126"/>
      <c r="AD32" s="124"/>
      <c r="AE32" s="125" t="s">
        <v>206</v>
      </c>
      <c r="AF32" s="124"/>
      <c r="AG32" s="124" t="str">
        <f t="shared" ca="1" si="3"/>
        <v>مستديم</v>
      </c>
      <c r="AH32" s="131"/>
    </row>
    <row r="33" spans="1:34" s="67" customFormat="1" ht="20.149999999999999" hidden="1" customHeight="1">
      <c r="A33" s="129">
        <v>31</v>
      </c>
      <c r="B33" s="125" t="s">
        <v>3</v>
      </c>
      <c r="C33" s="125" t="s">
        <v>46</v>
      </c>
      <c r="D33" s="125" t="s">
        <v>398</v>
      </c>
      <c r="E33" s="125" t="s">
        <v>195</v>
      </c>
      <c r="F33" s="125" t="s">
        <v>385</v>
      </c>
      <c r="G33" s="125" t="s">
        <v>489</v>
      </c>
      <c r="H33" s="125"/>
      <c r="I33" s="125"/>
      <c r="J33" s="124" t="s">
        <v>368</v>
      </c>
      <c r="K33" s="125" t="s">
        <v>6</v>
      </c>
      <c r="L33" s="130" t="s">
        <v>344</v>
      </c>
      <c r="M33" s="130" t="s">
        <v>237</v>
      </c>
      <c r="N33" s="130" t="s">
        <v>206</v>
      </c>
      <c r="O33" s="125" t="s">
        <v>268</v>
      </c>
      <c r="P33" s="152">
        <v>45643</v>
      </c>
      <c r="Q33" s="152">
        <v>45643</v>
      </c>
      <c r="R33" s="124">
        <v>4</v>
      </c>
      <c r="S33" s="124">
        <f t="shared" si="0"/>
        <v>48</v>
      </c>
      <c r="T33" s="126">
        <f t="shared" si="1"/>
        <v>47104</v>
      </c>
      <c r="U33" s="124">
        <f t="shared" ca="1" si="4"/>
        <v>956</v>
      </c>
      <c r="V33" s="125" t="s">
        <v>293</v>
      </c>
      <c r="W33" s="125" t="s">
        <v>253</v>
      </c>
      <c r="X33" s="125" t="s">
        <v>412</v>
      </c>
      <c r="Y33" s="125"/>
      <c r="Z33" s="130"/>
      <c r="AA33" s="126"/>
      <c r="AB33" s="124">
        <v>17865544492</v>
      </c>
      <c r="AC33" s="126"/>
      <c r="AD33" s="124"/>
      <c r="AE33" s="125" t="s">
        <v>206</v>
      </c>
      <c r="AF33" s="124"/>
      <c r="AG33" s="124" t="str">
        <f t="shared" ca="1" si="3"/>
        <v>مستديم</v>
      </c>
      <c r="AH33" s="131"/>
    </row>
    <row r="34" spans="1:34" s="67" customFormat="1" ht="20.149999999999999" hidden="1" customHeight="1">
      <c r="A34" s="129">
        <v>32</v>
      </c>
      <c r="B34" s="125" t="s">
        <v>3</v>
      </c>
      <c r="C34" s="125" t="s">
        <v>46</v>
      </c>
      <c r="D34" s="125" t="s">
        <v>399</v>
      </c>
      <c r="E34" s="125" t="s">
        <v>201</v>
      </c>
      <c r="F34" s="125"/>
      <c r="G34" s="125" t="s">
        <v>490</v>
      </c>
      <c r="H34" s="125"/>
      <c r="I34" s="125"/>
      <c r="J34" s="124" t="s">
        <v>367</v>
      </c>
      <c r="K34" s="125" t="s">
        <v>460</v>
      </c>
      <c r="L34" s="130"/>
      <c r="M34" s="130" t="s">
        <v>241</v>
      </c>
      <c r="N34" s="130" t="s">
        <v>206</v>
      </c>
      <c r="O34" s="125" t="s">
        <v>260</v>
      </c>
      <c r="P34" s="152">
        <v>45643</v>
      </c>
      <c r="Q34" s="152">
        <v>45643</v>
      </c>
      <c r="R34" s="124">
        <v>4</v>
      </c>
      <c r="S34" s="124">
        <f t="shared" si="0"/>
        <v>48</v>
      </c>
      <c r="T34" s="126">
        <f t="shared" si="1"/>
        <v>47104</v>
      </c>
      <c r="U34" s="124">
        <f t="shared" ca="1" si="4"/>
        <v>956</v>
      </c>
      <c r="V34" s="125" t="s">
        <v>293</v>
      </c>
      <c r="W34" s="125" t="s">
        <v>253</v>
      </c>
      <c r="X34" s="125" t="s">
        <v>413</v>
      </c>
      <c r="Y34" s="125"/>
      <c r="Z34" s="130"/>
      <c r="AA34" s="126"/>
      <c r="AB34" s="124"/>
      <c r="AC34" s="126"/>
      <c r="AD34" s="124"/>
      <c r="AE34" s="125" t="s">
        <v>206</v>
      </c>
      <c r="AF34" s="124"/>
      <c r="AG34" s="124" t="str">
        <f t="shared" ca="1" si="3"/>
        <v>مستديم</v>
      </c>
      <c r="AH34" s="131"/>
    </row>
    <row r="35" spans="1:34" s="67" customFormat="1" ht="20.149999999999999" hidden="1" customHeight="1">
      <c r="A35" s="129">
        <v>33</v>
      </c>
      <c r="B35" s="125" t="s">
        <v>50</v>
      </c>
      <c r="C35" s="125" t="s">
        <v>51</v>
      </c>
      <c r="D35" s="125" t="s">
        <v>53</v>
      </c>
      <c r="E35" s="125" t="s">
        <v>196</v>
      </c>
      <c r="F35" s="125"/>
      <c r="G35" s="125" t="s">
        <v>491</v>
      </c>
      <c r="H35" s="125"/>
      <c r="I35" s="125"/>
      <c r="J35" s="124" t="s">
        <v>367</v>
      </c>
      <c r="K35" s="125" t="s">
        <v>6</v>
      </c>
      <c r="L35" s="130"/>
      <c r="M35" s="130" t="s">
        <v>234</v>
      </c>
      <c r="N35" s="130" t="s">
        <v>206</v>
      </c>
      <c r="O35" s="125" t="s">
        <v>259</v>
      </c>
      <c r="P35" s="152">
        <v>44101</v>
      </c>
      <c r="Q35" s="152">
        <v>45643</v>
      </c>
      <c r="R35" s="124">
        <v>4</v>
      </c>
      <c r="S35" s="124">
        <f t="shared" si="0"/>
        <v>48</v>
      </c>
      <c r="T35" s="126">
        <f t="shared" si="1"/>
        <v>47104</v>
      </c>
      <c r="U35" s="124">
        <f t="shared" ca="1" si="4"/>
        <v>956</v>
      </c>
      <c r="V35" s="125" t="s">
        <v>540</v>
      </c>
      <c r="W35" s="125" t="s">
        <v>252</v>
      </c>
      <c r="X35" s="125" t="s">
        <v>413</v>
      </c>
      <c r="Y35" s="125"/>
      <c r="Z35" s="130"/>
      <c r="AA35" s="126"/>
      <c r="AB35" s="124"/>
      <c r="AC35" s="126"/>
      <c r="AD35" s="124"/>
      <c r="AE35" s="125" t="s">
        <v>206</v>
      </c>
      <c r="AF35" s="124"/>
      <c r="AG35" s="124" t="str">
        <f t="shared" ca="1" si="3"/>
        <v>مستديم</v>
      </c>
      <c r="AH35" s="131"/>
    </row>
    <row r="36" spans="1:34" s="67" customFormat="1" ht="20.149999999999999" hidden="1" customHeight="1">
      <c r="A36" s="129">
        <v>34</v>
      </c>
      <c r="B36" s="125" t="s">
        <v>50</v>
      </c>
      <c r="C36" s="125" t="s">
        <v>51</v>
      </c>
      <c r="D36" s="125" t="s">
        <v>453</v>
      </c>
      <c r="E36" s="125" t="s">
        <v>197</v>
      </c>
      <c r="F36" s="125" t="s">
        <v>386</v>
      </c>
      <c r="G36" s="125" t="s">
        <v>491</v>
      </c>
      <c r="H36" s="125"/>
      <c r="I36" s="125"/>
      <c r="J36" s="124" t="s">
        <v>367</v>
      </c>
      <c r="K36" s="125" t="s">
        <v>461</v>
      </c>
      <c r="L36" s="130"/>
      <c r="M36" s="130" t="s">
        <v>241</v>
      </c>
      <c r="N36" s="130" t="s">
        <v>206</v>
      </c>
      <c r="O36" s="125" t="s">
        <v>260</v>
      </c>
      <c r="P36" s="152">
        <v>44948</v>
      </c>
      <c r="Q36" s="152">
        <v>45643</v>
      </c>
      <c r="R36" s="124">
        <v>4</v>
      </c>
      <c r="S36" s="124">
        <f t="shared" si="0"/>
        <v>48</v>
      </c>
      <c r="T36" s="126">
        <f t="shared" si="1"/>
        <v>47104</v>
      </c>
      <c r="U36" s="124">
        <f t="shared" ca="1" si="4"/>
        <v>956</v>
      </c>
      <c r="V36" s="125" t="s">
        <v>293</v>
      </c>
      <c r="W36" s="125" t="s">
        <v>253</v>
      </c>
      <c r="X36" s="125" t="s">
        <v>412</v>
      </c>
      <c r="Y36" s="125"/>
      <c r="Z36" s="130"/>
      <c r="AA36" s="126"/>
      <c r="AB36" s="124">
        <v>10200024326</v>
      </c>
      <c r="AC36" s="126"/>
      <c r="AD36" s="124"/>
      <c r="AE36" s="125" t="s">
        <v>206</v>
      </c>
      <c r="AF36" s="124"/>
      <c r="AG36" s="124" t="str">
        <f t="shared" ca="1" si="3"/>
        <v>مستديم</v>
      </c>
      <c r="AH36" s="131"/>
    </row>
    <row r="37" spans="1:34" s="67" customFormat="1" ht="20.149999999999999" hidden="1" customHeight="1">
      <c r="A37" s="129">
        <v>35</v>
      </c>
      <c r="B37" s="125" t="s">
        <v>50</v>
      </c>
      <c r="C37" s="125" t="s">
        <v>51</v>
      </c>
      <c r="D37" s="125" t="s">
        <v>57</v>
      </c>
      <c r="E37" s="125" t="s">
        <v>198</v>
      </c>
      <c r="F37" s="125" t="s">
        <v>387</v>
      </c>
      <c r="G37" s="125" t="s">
        <v>491</v>
      </c>
      <c r="H37" s="125"/>
      <c r="I37" s="125"/>
      <c r="J37" s="124" t="s">
        <v>367</v>
      </c>
      <c r="K37" s="125" t="s">
        <v>460</v>
      </c>
      <c r="L37" s="130"/>
      <c r="M37" s="130" t="s">
        <v>234</v>
      </c>
      <c r="N37" s="130" t="s">
        <v>206</v>
      </c>
      <c r="O37" s="125" t="s">
        <v>560</v>
      </c>
      <c r="P37" s="152">
        <v>44948</v>
      </c>
      <c r="Q37" s="152">
        <v>45643</v>
      </c>
      <c r="R37" s="124">
        <v>4</v>
      </c>
      <c r="S37" s="124">
        <f t="shared" ref="S37:S67" si="7">R37*12</f>
        <v>48</v>
      </c>
      <c r="T37" s="126">
        <f t="shared" ref="T37:T67" si="8">EDATE(Q37,S37)</f>
        <v>47104</v>
      </c>
      <c r="U37" s="124">
        <f t="shared" ca="1" si="4"/>
        <v>956</v>
      </c>
      <c r="V37" s="125" t="s">
        <v>540</v>
      </c>
      <c r="W37" s="125" t="s">
        <v>252</v>
      </c>
      <c r="X37" s="125" t="s">
        <v>413</v>
      </c>
      <c r="Y37" s="125"/>
      <c r="Z37" s="130"/>
      <c r="AA37" s="126"/>
      <c r="AB37" s="124">
        <v>11584602152</v>
      </c>
      <c r="AC37" s="126"/>
      <c r="AD37" s="124"/>
      <c r="AE37" s="125" t="s">
        <v>206</v>
      </c>
      <c r="AF37" s="124"/>
      <c r="AG37" s="124" t="str">
        <f t="shared" ca="1" si="3"/>
        <v>مستديم</v>
      </c>
      <c r="AH37" s="131"/>
    </row>
    <row r="38" spans="1:34" s="67" customFormat="1" ht="20.149999999999999" hidden="1" customHeight="1">
      <c r="A38" s="129">
        <v>36</v>
      </c>
      <c r="B38" s="125" t="s">
        <v>50</v>
      </c>
      <c r="C38" s="125" t="s">
        <v>51</v>
      </c>
      <c r="D38" s="125" t="s">
        <v>291</v>
      </c>
      <c r="E38" s="125" t="s">
        <v>198</v>
      </c>
      <c r="F38" s="125" t="s">
        <v>388</v>
      </c>
      <c r="G38" s="125" t="s">
        <v>491</v>
      </c>
      <c r="H38" s="125"/>
      <c r="I38" s="125"/>
      <c r="J38" s="124" t="s">
        <v>367</v>
      </c>
      <c r="K38" s="125" t="s">
        <v>6</v>
      </c>
      <c r="L38" s="130"/>
      <c r="M38" s="130" t="s">
        <v>241</v>
      </c>
      <c r="N38" s="130" t="s">
        <v>206</v>
      </c>
      <c r="O38" s="125" t="s">
        <v>260</v>
      </c>
      <c r="P38" s="152">
        <v>44908</v>
      </c>
      <c r="Q38" s="152">
        <v>45643</v>
      </c>
      <c r="R38" s="124">
        <v>4</v>
      </c>
      <c r="S38" s="124">
        <f t="shared" si="7"/>
        <v>48</v>
      </c>
      <c r="T38" s="126">
        <f t="shared" si="8"/>
        <v>47104</v>
      </c>
      <c r="U38" s="124">
        <f t="shared" ca="1" si="4"/>
        <v>956</v>
      </c>
      <c r="V38" s="125" t="s">
        <v>539</v>
      </c>
      <c r="W38" s="125" t="s">
        <v>252</v>
      </c>
      <c r="X38" s="125" t="s">
        <v>413</v>
      </c>
      <c r="Y38" s="125"/>
      <c r="Z38" s="130"/>
      <c r="AA38" s="126"/>
      <c r="AB38" s="124">
        <v>19734181809</v>
      </c>
      <c r="AC38" s="126"/>
      <c r="AD38" s="124"/>
      <c r="AE38" s="125" t="s">
        <v>206</v>
      </c>
      <c r="AF38" s="124"/>
      <c r="AG38" s="124" t="str">
        <f t="shared" ca="1" si="3"/>
        <v>مستديم</v>
      </c>
      <c r="AH38" s="131"/>
    </row>
    <row r="39" spans="1:34" s="67" customFormat="1" ht="20.149999999999999" hidden="1" customHeight="1">
      <c r="A39" s="129">
        <v>37</v>
      </c>
      <c r="B39" s="125" t="s">
        <v>50</v>
      </c>
      <c r="C39" s="125" t="s">
        <v>51</v>
      </c>
      <c r="D39" s="125" t="s">
        <v>63</v>
      </c>
      <c r="E39" s="125" t="s">
        <v>195</v>
      </c>
      <c r="F39" s="125" t="s">
        <v>391</v>
      </c>
      <c r="G39" s="125" t="s">
        <v>491</v>
      </c>
      <c r="H39" s="125"/>
      <c r="I39" s="125"/>
      <c r="J39" s="124" t="s">
        <v>367</v>
      </c>
      <c r="K39" s="125" t="s">
        <v>6</v>
      </c>
      <c r="L39" s="130"/>
      <c r="M39" s="130" t="s">
        <v>241</v>
      </c>
      <c r="N39" s="130" t="s">
        <v>206</v>
      </c>
      <c r="O39" s="125" t="s">
        <v>260</v>
      </c>
      <c r="P39" s="152">
        <v>44930</v>
      </c>
      <c r="Q39" s="152">
        <v>45643</v>
      </c>
      <c r="R39" s="124">
        <v>4</v>
      </c>
      <c r="S39" s="124">
        <f t="shared" si="7"/>
        <v>48</v>
      </c>
      <c r="T39" s="126">
        <f t="shared" si="8"/>
        <v>47104</v>
      </c>
      <c r="U39" s="124">
        <f t="shared" ca="1" si="4"/>
        <v>956</v>
      </c>
      <c r="V39" s="125" t="s">
        <v>293</v>
      </c>
      <c r="W39" s="125" t="s">
        <v>253</v>
      </c>
      <c r="X39" s="125" t="s">
        <v>413</v>
      </c>
      <c r="Y39" s="125"/>
      <c r="Z39" s="130"/>
      <c r="AA39" s="126"/>
      <c r="AB39" s="124"/>
      <c r="AC39" s="126"/>
      <c r="AD39" s="124"/>
      <c r="AE39" s="125" t="s">
        <v>206</v>
      </c>
      <c r="AF39" s="124"/>
      <c r="AG39" s="124" t="str">
        <f t="shared" ca="1" si="3"/>
        <v>منتهي</v>
      </c>
      <c r="AH39" s="131"/>
    </row>
    <row r="40" spans="1:34" s="67" customFormat="1" ht="20.149999999999999" hidden="1" customHeight="1">
      <c r="A40" s="129">
        <v>38</v>
      </c>
      <c r="B40" s="125" t="s">
        <v>50</v>
      </c>
      <c r="C40" s="125" t="s">
        <v>51</v>
      </c>
      <c r="D40" s="125" t="s">
        <v>417</v>
      </c>
      <c r="E40" s="125" t="s">
        <v>194</v>
      </c>
      <c r="F40" s="125"/>
      <c r="G40" s="125" t="s">
        <v>491</v>
      </c>
      <c r="H40" s="125"/>
      <c r="I40" s="125"/>
      <c r="J40" s="124" t="s">
        <v>367</v>
      </c>
      <c r="K40" s="125" t="s">
        <v>6</v>
      </c>
      <c r="L40" s="130"/>
      <c r="M40" s="130" t="s">
        <v>241</v>
      </c>
      <c r="N40" s="130" t="s">
        <v>206</v>
      </c>
      <c r="O40" s="125" t="s">
        <v>264</v>
      </c>
      <c r="P40" s="152">
        <v>45655</v>
      </c>
      <c r="Q40" s="152">
        <v>45655</v>
      </c>
      <c r="R40" s="124">
        <v>1</v>
      </c>
      <c r="S40" s="124">
        <f t="shared" si="7"/>
        <v>12</v>
      </c>
      <c r="T40" s="126">
        <f t="shared" si="8"/>
        <v>46020</v>
      </c>
      <c r="U40" s="124">
        <f t="shared" ca="1" si="4"/>
        <v>-128</v>
      </c>
      <c r="V40" s="125" t="s">
        <v>293</v>
      </c>
      <c r="W40" s="125" t="s">
        <v>253</v>
      </c>
      <c r="X40" s="125" t="s">
        <v>413</v>
      </c>
      <c r="Y40" s="125"/>
      <c r="Z40" s="130"/>
      <c r="AA40" s="126"/>
      <c r="AB40" s="124"/>
      <c r="AC40" s="126"/>
      <c r="AD40" s="124"/>
      <c r="AE40" s="125" t="s">
        <v>206</v>
      </c>
      <c r="AF40" s="124"/>
      <c r="AG40" s="124" t="str">
        <f t="shared" ca="1" si="3"/>
        <v>مستديم</v>
      </c>
      <c r="AH40" s="131"/>
    </row>
    <row r="41" spans="1:34" s="67" customFormat="1" ht="20.149999999999999" hidden="1" customHeight="1">
      <c r="A41" s="129">
        <v>39</v>
      </c>
      <c r="B41" s="125" t="s">
        <v>50</v>
      </c>
      <c r="C41" s="125" t="s">
        <v>51</v>
      </c>
      <c r="D41" s="125" t="s">
        <v>374</v>
      </c>
      <c r="E41" s="125" t="s">
        <v>201</v>
      </c>
      <c r="F41" s="125" t="s">
        <v>524</v>
      </c>
      <c r="G41" s="125" t="s">
        <v>491</v>
      </c>
      <c r="H41" s="125"/>
      <c r="I41" s="125"/>
      <c r="J41" s="124" t="s">
        <v>367</v>
      </c>
      <c r="K41" s="125" t="s">
        <v>461</v>
      </c>
      <c r="L41" s="130"/>
      <c r="M41" s="130" t="s">
        <v>241</v>
      </c>
      <c r="N41" s="130" t="s">
        <v>206</v>
      </c>
      <c r="O41" s="125" t="s">
        <v>260</v>
      </c>
      <c r="P41" s="152">
        <v>44926</v>
      </c>
      <c r="Q41" s="152">
        <v>45643</v>
      </c>
      <c r="R41" s="124">
        <v>4</v>
      </c>
      <c r="S41" s="124">
        <f t="shared" si="7"/>
        <v>48</v>
      </c>
      <c r="T41" s="126">
        <f t="shared" si="8"/>
        <v>47104</v>
      </c>
      <c r="U41" s="124">
        <f t="shared" ca="1" si="4"/>
        <v>956</v>
      </c>
      <c r="V41" s="125" t="s">
        <v>293</v>
      </c>
      <c r="W41" s="125" t="s">
        <v>253</v>
      </c>
      <c r="X41" s="125" t="s">
        <v>413</v>
      </c>
      <c r="Y41" s="125"/>
      <c r="Z41" s="130"/>
      <c r="AA41" s="126"/>
      <c r="AB41" s="124">
        <v>10200061392</v>
      </c>
      <c r="AC41" s="126"/>
      <c r="AD41" s="124"/>
      <c r="AE41" s="125" t="s">
        <v>206</v>
      </c>
      <c r="AF41" s="124"/>
      <c r="AG41" s="124" t="str">
        <f t="shared" ca="1" si="3"/>
        <v>مستديم</v>
      </c>
      <c r="AH41" s="131"/>
    </row>
    <row r="42" spans="1:34" s="67" customFormat="1" ht="19.5" hidden="1" customHeight="1">
      <c r="A42" s="129">
        <v>40</v>
      </c>
      <c r="B42" s="125" t="s">
        <v>50</v>
      </c>
      <c r="C42" s="125" t="s">
        <v>51</v>
      </c>
      <c r="D42" s="125" t="s">
        <v>102</v>
      </c>
      <c r="E42" s="125" t="s">
        <v>195</v>
      </c>
      <c r="F42" s="125" t="s">
        <v>385</v>
      </c>
      <c r="G42" s="125" t="s">
        <v>491</v>
      </c>
      <c r="H42" s="125"/>
      <c r="I42" s="125"/>
      <c r="J42" s="124" t="s">
        <v>368</v>
      </c>
      <c r="K42" s="125" t="s">
        <v>6</v>
      </c>
      <c r="L42" s="130" t="s">
        <v>344</v>
      </c>
      <c r="M42" s="130" t="s">
        <v>241</v>
      </c>
      <c r="N42" s="130" t="s">
        <v>206</v>
      </c>
      <c r="O42" s="125" t="s">
        <v>261</v>
      </c>
      <c r="P42" s="152">
        <v>44921</v>
      </c>
      <c r="Q42" s="152">
        <v>45643</v>
      </c>
      <c r="R42" s="124">
        <v>4</v>
      </c>
      <c r="S42" s="124">
        <f t="shared" ref="S42:S43" si="9">R42*12</f>
        <v>48</v>
      </c>
      <c r="T42" s="126">
        <f t="shared" ref="T42:T43" si="10">EDATE(Q42,S42)</f>
        <v>47104</v>
      </c>
      <c r="U42" s="124">
        <f t="shared" ref="U42:U43" ca="1" si="11">T42-TODAY()</f>
        <v>956</v>
      </c>
      <c r="V42" s="125" t="s">
        <v>293</v>
      </c>
      <c r="W42" s="125" t="s">
        <v>253</v>
      </c>
      <c r="X42" s="125" t="s">
        <v>412</v>
      </c>
      <c r="Y42" s="125"/>
      <c r="Z42" s="130"/>
      <c r="AA42" s="126"/>
      <c r="AB42" s="124"/>
      <c r="AC42" s="126"/>
      <c r="AD42" s="124"/>
      <c r="AE42" s="125" t="s">
        <v>206</v>
      </c>
      <c r="AF42" s="124"/>
      <c r="AG42" s="124" t="str">
        <f t="shared" ca="1" si="3"/>
        <v>منتهي</v>
      </c>
      <c r="AH42" s="131"/>
    </row>
    <row r="43" spans="1:34" s="67" customFormat="1" ht="20.149999999999999" hidden="1" customHeight="1">
      <c r="A43" s="129">
        <v>41</v>
      </c>
      <c r="B43" s="125" t="s">
        <v>50</v>
      </c>
      <c r="C43" s="125" t="s">
        <v>51</v>
      </c>
      <c r="D43" s="125" t="s">
        <v>105</v>
      </c>
      <c r="E43" s="125" t="s">
        <v>197</v>
      </c>
      <c r="F43" s="125" t="s">
        <v>390</v>
      </c>
      <c r="G43" s="125" t="s">
        <v>491</v>
      </c>
      <c r="H43" s="125"/>
      <c r="I43" s="125"/>
      <c r="J43" s="124" t="s">
        <v>367</v>
      </c>
      <c r="K43" s="125" t="s">
        <v>6</v>
      </c>
      <c r="L43" s="125"/>
      <c r="M43" s="130" t="s">
        <v>241</v>
      </c>
      <c r="N43" s="130" t="s">
        <v>206</v>
      </c>
      <c r="O43" s="125" t="s">
        <v>263</v>
      </c>
      <c r="P43" s="152">
        <v>44610</v>
      </c>
      <c r="Q43" s="152">
        <v>45680</v>
      </c>
      <c r="R43" s="124">
        <v>1</v>
      </c>
      <c r="S43" s="124">
        <f t="shared" si="9"/>
        <v>12</v>
      </c>
      <c r="T43" s="126">
        <f t="shared" si="10"/>
        <v>46045</v>
      </c>
      <c r="U43" s="124">
        <f t="shared" ca="1" si="11"/>
        <v>-103</v>
      </c>
      <c r="V43" s="125" t="s">
        <v>293</v>
      </c>
      <c r="W43" s="125" t="s">
        <v>253</v>
      </c>
      <c r="X43" s="125" t="s">
        <v>412</v>
      </c>
      <c r="Y43" s="125"/>
      <c r="Z43" s="130"/>
      <c r="AA43" s="126"/>
      <c r="AB43" s="124">
        <v>11967240458</v>
      </c>
      <c r="AC43" s="126"/>
      <c r="AD43" s="124"/>
      <c r="AE43" s="125" t="s">
        <v>206</v>
      </c>
      <c r="AF43" s="124"/>
      <c r="AG43" s="124" t="str">
        <f t="shared" ca="1" si="3"/>
        <v>مستديم</v>
      </c>
      <c r="AH43" s="131"/>
    </row>
    <row r="44" spans="1:34" s="67" customFormat="1" ht="20.149999999999999" hidden="1" customHeight="1">
      <c r="A44" s="129">
        <v>42</v>
      </c>
      <c r="B44" s="125" t="s">
        <v>50</v>
      </c>
      <c r="C44" s="125" t="s">
        <v>81</v>
      </c>
      <c r="D44" s="125" t="s">
        <v>101</v>
      </c>
      <c r="E44" s="125" t="s">
        <v>197</v>
      </c>
      <c r="F44" s="125" t="s">
        <v>389</v>
      </c>
      <c r="G44" s="125" t="s">
        <v>492</v>
      </c>
      <c r="H44" s="125"/>
      <c r="I44" s="125"/>
      <c r="J44" s="124" t="s">
        <v>367</v>
      </c>
      <c r="K44" s="125" t="s">
        <v>6</v>
      </c>
      <c r="L44" s="130"/>
      <c r="M44" s="130" t="s">
        <v>241</v>
      </c>
      <c r="N44" s="130" t="s">
        <v>206</v>
      </c>
      <c r="O44" s="125" t="s">
        <v>264</v>
      </c>
      <c r="P44" s="152">
        <v>44940</v>
      </c>
      <c r="Q44" s="152">
        <v>45643</v>
      </c>
      <c r="R44" s="124">
        <v>4</v>
      </c>
      <c r="S44" s="124">
        <f t="shared" ref="S44" si="12">R44*12</f>
        <v>48</v>
      </c>
      <c r="T44" s="126">
        <f t="shared" ref="T44" si="13">EDATE(Q44,S44)</f>
        <v>47104</v>
      </c>
      <c r="U44" s="124">
        <f t="shared" ref="U44" ca="1" si="14">T44-TODAY()</f>
        <v>956</v>
      </c>
      <c r="V44" s="125" t="s">
        <v>293</v>
      </c>
      <c r="W44" s="125" t="s">
        <v>253</v>
      </c>
      <c r="X44" s="125" t="s">
        <v>412</v>
      </c>
      <c r="Y44" s="125"/>
      <c r="Z44" s="130"/>
      <c r="AA44" s="126"/>
      <c r="AB44" s="124"/>
      <c r="AC44" s="126"/>
      <c r="AD44" s="124"/>
      <c r="AE44" s="125" t="s">
        <v>206</v>
      </c>
      <c r="AF44" s="124"/>
      <c r="AG44" s="124" t="str">
        <f t="shared" ca="1" si="3"/>
        <v>مستديم</v>
      </c>
      <c r="AH44" s="131"/>
    </row>
    <row r="45" spans="1:34" s="67" customFormat="1" ht="20.149999999999999" hidden="1" customHeight="1">
      <c r="A45" s="129">
        <v>43</v>
      </c>
      <c r="B45" s="125" t="s">
        <v>50</v>
      </c>
      <c r="C45" s="125" t="s">
        <v>81</v>
      </c>
      <c r="D45" s="125" t="s">
        <v>116</v>
      </c>
      <c r="E45" s="125" t="s">
        <v>194</v>
      </c>
      <c r="F45" s="125" t="s">
        <v>381</v>
      </c>
      <c r="G45" s="125" t="s">
        <v>492</v>
      </c>
      <c r="H45" s="125"/>
      <c r="I45" s="125"/>
      <c r="J45" s="124" t="s">
        <v>367</v>
      </c>
      <c r="K45" s="125" t="s">
        <v>6</v>
      </c>
      <c r="L45" s="130"/>
      <c r="M45" s="130" t="s">
        <v>241</v>
      </c>
      <c r="N45" s="130" t="s">
        <v>206</v>
      </c>
      <c r="O45" s="125" t="s">
        <v>416</v>
      </c>
      <c r="P45" s="152">
        <v>44906</v>
      </c>
      <c r="Q45" s="152">
        <v>45643</v>
      </c>
      <c r="R45" s="124">
        <v>4</v>
      </c>
      <c r="S45" s="124">
        <f t="shared" si="7"/>
        <v>48</v>
      </c>
      <c r="T45" s="126">
        <f t="shared" si="8"/>
        <v>47104</v>
      </c>
      <c r="U45" s="124">
        <f t="shared" ref="U45:U75" ca="1" si="15">T45-TODAY()</f>
        <v>956</v>
      </c>
      <c r="V45" s="125" t="s">
        <v>293</v>
      </c>
      <c r="W45" s="125" t="s">
        <v>253</v>
      </c>
      <c r="X45" s="125" t="s">
        <v>413</v>
      </c>
      <c r="Y45" s="125"/>
      <c r="Z45" s="130"/>
      <c r="AA45" s="126"/>
      <c r="AB45" s="124"/>
      <c r="AC45" s="126"/>
      <c r="AD45" s="124"/>
      <c r="AE45" s="125" t="s">
        <v>206</v>
      </c>
      <c r="AF45" s="124"/>
      <c r="AG45" s="124" t="str">
        <f t="shared" ca="1" si="3"/>
        <v>مستديم</v>
      </c>
      <c r="AH45" s="131"/>
    </row>
    <row r="46" spans="1:34" s="67" customFormat="1" ht="20.149999999999999" hidden="1" customHeight="1">
      <c r="A46" s="129">
        <v>44</v>
      </c>
      <c r="B46" s="125" t="s">
        <v>50</v>
      </c>
      <c r="C46" s="125" t="s">
        <v>81</v>
      </c>
      <c r="D46" s="125" t="s">
        <v>120</v>
      </c>
      <c r="E46" s="125" t="s">
        <v>197</v>
      </c>
      <c r="F46" s="125" t="s">
        <v>389</v>
      </c>
      <c r="G46" s="125" t="s">
        <v>492</v>
      </c>
      <c r="H46" s="125"/>
      <c r="I46" s="125"/>
      <c r="J46" s="124" t="s">
        <v>367</v>
      </c>
      <c r="K46" s="125" t="s">
        <v>461</v>
      </c>
      <c r="L46" s="130"/>
      <c r="M46" s="130" t="s">
        <v>241</v>
      </c>
      <c r="N46" s="130" t="s">
        <v>206</v>
      </c>
      <c r="O46" s="125" t="s">
        <v>269</v>
      </c>
      <c r="P46" s="152">
        <v>44957</v>
      </c>
      <c r="Q46" s="152">
        <v>45643</v>
      </c>
      <c r="R46" s="124">
        <v>4</v>
      </c>
      <c r="S46" s="124">
        <f t="shared" si="7"/>
        <v>48</v>
      </c>
      <c r="T46" s="126">
        <f t="shared" si="8"/>
        <v>47104</v>
      </c>
      <c r="U46" s="124">
        <f t="shared" ca="1" si="15"/>
        <v>956</v>
      </c>
      <c r="V46" s="125" t="s">
        <v>293</v>
      </c>
      <c r="W46" s="125" t="s">
        <v>253</v>
      </c>
      <c r="X46" s="125" t="s">
        <v>412</v>
      </c>
      <c r="Y46" s="125"/>
      <c r="Z46" s="130"/>
      <c r="AA46" s="126"/>
      <c r="AB46" s="124"/>
      <c r="AC46" s="126"/>
      <c r="AD46" s="124"/>
      <c r="AE46" s="125" t="s">
        <v>206</v>
      </c>
      <c r="AF46" s="124"/>
      <c r="AG46" s="124" t="str">
        <f t="shared" ca="1" si="3"/>
        <v>مستديم</v>
      </c>
      <c r="AH46" s="131"/>
    </row>
    <row r="47" spans="1:34" s="67" customFormat="1" ht="20.149999999999999" hidden="1" customHeight="1">
      <c r="A47" s="129">
        <v>45</v>
      </c>
      <c r="B47" s="125" t="s">
        <v>50</v>
      </c>
      <c r="C47" s="125" t="s">
        <v>81</v>
      </c>
      <c r="D47" s="125" t="s">
        <v>121</v>
      </c>
      <c r="E47" s="125" t="s">
        <v>197</v>
      </c>
      <c r="F47" s="125" t="s">
        <v>390</v>
      </c>
      <c r="G47" s="125" t="s">
        <v>492</v>
      </c>
      <c r="H47" s="125"/>
      <c r="I47" s="125"/>
      <c r="J47" s="124" t="s">
        <v>367</v>
      </c>
      <c r="K47" s="125" t="s">
        <v>6</v>
      </c>
      <c r="L47" s="130"/>
      <c r="M47" s="130" t="s">
        <v>241</v>
      </c>
      <c r="N47" s="130" t="s">
        <v>206</v>
      </c>
      <c r="O47" s="125" t="s">
        <v>561</v>
      </c>
      <c r="P47" s="152">
        <v>44972</v>
      </c>
      <c r="Q47" s="152">
        <v>45643</v>
      </c>
      <c r="R47" s="124">
        <v>4</v>
      </c>
      <c r="S47" s="124">
        <f t="shared" si="7"/>
        <v>48</v>
      </c>
      <c r="T47" s="126">
        <f t="shared" si="8"/>
        <v>47104</v>
      </c>
      <c r="U47" s="124">
        <f t="shared" ca="1" si="15"/>
        <v>956</v>
      </c>
      <c r="V47" s="125" t="s">
        <v>293</v>
      </c>
      <c r="W47" s="125" t="s">
        <v>253</v>
      </c>
      <c r="X47" s="125" t="s">
        <v>413</v>
      </c>
      <c r="Y47" s="125"/>
      <c r="Z47" s="130"/>
      <c r="AA47" s="126"/>
      <c r="AB47" s="124">
        <v>11590117259</v>
      </c>
      <c r="AC47" s="126"/>
      <c r="AD47" s="124"/>
      <c r="AE47" s="125" t="s">
        <v>206</v>
      </c>
      <c r="AF47" s="124"/>
      <c r="AG47" s="124" t="str">
        <f t="shared" ca="1" si="3"/>
        <v>مستديم</v>
      </c>
      <c r="AH47" s="131"/>
    </row>
    <row r="48" spans="1:34" s="67" customFormat="1" ht="20.149999999999999" hidden="1" customHeight="1">
      <c r="A48" s="129">
        <v>46</v>
      </c>
      <c r="B48" s="125" t="s">
        <v>50</v>
      </c>
      <c r="C48" s="125" t="s">
        <v>81</v>
      </c>
      <c r="D48" s="125" t="s">
        <v>123</v>
      </c>
      <c r="E48" s="125" t="s">
        <v>195</v>
      </c>
      <c r="F48" s="125" t="s">
        <v>385</v>
      </c>
      <c r="G48" s="125" t="s">
        <v>492</v>
      </c>
      <c r="H48" s="125"/>
      <c r="I48" s="125"/>
      <c r="J48" s="124" t="s">
        <v>367</v>
      </c>
      <c r="K48" s="125" t="s">
        <v>6</v>
      </c>
      <c r="L48" s="130" t="s">
        <v>344</v>
      </c>
      <c r="M48" s="130" t="s">
        <v>241</v>
      </c>
      <c r="N48" s="130" t="s">
        <v>206</v>
      </c>
      <c r="O48" s="125" t="s">
        <v>265</v>
      </c>
      <c r="P48" s="152">
        <v>44987</v>
      </c>
      <c r="Q48" s="152">
        <v>45643</v>
      </c>
      <c r="R48" s="124">
        <v>4</v>
      </c>
      <c r="S48" s="124">
        <f t="shared" si="7"/>
        <v>48</v>
      </c>
      <c r="T48" s="126">
        <f t="shared" si="8"/>
        <v>47104</v>
      </c>
      <c r="U48" s="124">
        <f t="shared" ca="1" si="15"/>
        <v>956</v>
      </c>
      <c r="V48" s="125" t="s">
        <v>293</v>
      </c>
      <c r="W48" s="125" t="s">
        <v>253</v>
      </c>
      <c r="X48" s="125" t="s">
        <v>412</v>
      </c>
      <c r="Y48" s="125"/>
      <c r="Z48" s="130"/>
      <c r="AA48" s="126"/>
      <c r="AB48" s="124">
        <v>11266995626</v>
      </c>
      <c r="AC48" s="126"/>
      <c r="AD48" s="124"/>
      <c r="AE48" s="125" t="s">
        <v>206</v>
      </c>
      <c r="AF48" s="124"/>
      <c r="AG48" s="124" t="str">
        <f t="shared" ca="1" si="3"/>
        <v>مستديم</v>
      </c>
      <c r="AH48" s="131"/>
    </row>
    <row r="49" spans="1:34" s="67" customFormat="1" ht="20.149999999999999" hidden="1" customHeight="1">
      <c r="A49" s="129">
        <v>47</v>
      </c>
      <c r="B49" s="125" t="s">
        <v>50</v>
      </c>
      <c r="C49" s="125" t="s">
        <v>81</v>
      </c>
      <c r="D49" s="125" t="s">
        <v>297</v>
      </c>
      <c r="E49" s="125" t="s">
        <v>195</v>
      </c>
      <c r="F49" s="125" t="s">
        <v>385</v>
      </c>
      <c r="G49" s="125" t="s">
        <v>492</v>
      </c>
      <c r="H49" s="125"/>
      <c r="I49" s="125"/>
      <c r="J49" s="124" t="s">
        <v>367</v>
      </c>
      <c r="K49" s="125" t="s">
        <v>6</v>
      </c>
      <c r="L49" s="130" t="s">
        <v>377</v>
      </c>
      <c r="M49" s="130" t="s">
        <v>235</v>
      </c>
      <c r="N49" s="130" t="s">
        <v>206</v>
      </c>
      <c r="O49" s="125" t="s">
        <v>562</v>
      </c>
      <c r="P49" s="152">
        <v>44619</v>
      </c>
      <c r="Q49" s="152">
        <v>45643</v>
      </c>
      <c r="R49" s="124">
        <v>4</v>
      </c>
      <c r="S49" s="124">
        <f t="shared" ref="S49" si="16">R49*12</f>
        <v>48</v>
      </c>
      <c r="T49" s="126">
        <f t="shared" ref="T49" si="17">EDATE(Q49,S49)</f>
        <v>47104</v>
      </c>
      <c r="U49" s="124">
        <f t="shared" ref="U49" ca="1" si="18">T49-TODAY()</f>
        <v>956</v>
      </c>
      <c r="V49" s="125" t="s">
        <v>293</v>
      </c>
      <c r="W49" s="125" t="s">
        <v>253</v>
      </c>
      <c r="X49" s="125" t="s">
        <v>412</v>
      </c>
      <c r="Y49" s="125"/>
      <c r="Z49" s="130"/>
      <c r="AA49" s="126"/>
      <c r="AB49" s="124">
        <v>12012994134</v>
      </c>
      <c r="AC49" s="126"/>
      <c r="AD49" s="124"/>
      <c r="AE49" s="125" t="s">
        <v>206</v>
      </c>
      <c r="AF49" s="124"/>
      <c r="AG49" s="124" t="str">
        <f t="shared" ca="1" si="3"/>
        <v>مستديم</v>
      </c>
      <c r="AH49" s="131"/>
    </row>
    <row r="50" spans="1:34" s="67" customFormat="1" ht="20.149999999999999" hidden="1" customHeight="1">
      <c r="A50" s="129">
        <v>48</v>
      </c>
      <c r="B50" s="125" t="s">
        <v>50</v>
      </c>
      <c r="C50" s="125" t="s">
        <v>110</v>
      </c>
      <c r="D50" s="125" t="s">
        <v>115</v>
      </c>
      <c r="E50" s="125" t="s">
        <v>197</v>
      </c>
      <c r="F50" s="125" t="s">
        <v>389</v>
      </c>
      <c r="G50" s="125" t="s">
        <v>492</v>
      </c>
      <c r="H50" s="125"/>
      <c r="I50" s="125"/>
      <c r="J50" s="124" t="s">
        <v>367</v>
      </c>
      <c r="K50" s="125" t="s">
        <v>6</v>
      </c>
      <c r="L50" s="130"/>
      <c r="M50" s="130" t="s">
        <v>241</v>
      </c>
      <c r="N50" s="130" t="s">
        <v>206</v>
      </c>
      <c r="O50" s="125" t="s">
        <v>264</v>
      </c>
      <c r="P50" s="152">
        <v>44940</v>
      </c>
      <c r="Q50" s="152">
        <v>45643</v>
      </c>
      <c r="R50" s="124">
        <v>4</v>
      </c>
      <c r="S50" s="124">
        <f t="shared" si="7"/>
        <v>48</v>
      </c>
      <c r="T50" s="126">
        <f t="shared" si="8"/>
        <v>47104</v>
      </c>
      <c r="U50" s="124">
        <f t="shared" ca="1" si="15"/>
        <v>956</v>
      </c>
      <c r="V50" s="125" t="s">
        <v>293</v>
      </c>
      <c r="W50" s="125" t="s">
        <v>253</v>
      </c>
      <c r="X50" s="125" t="s">
        <v>412</v>
      </c>
      <c r="Y50" s="125"/>
      <c r="Z50" s="130"/>
      <c r="AA50" s="126"/>
      <c r="AB50" s="124">
        <v>11597402924</v>
      </c>
      <c r="AC50" s="126"/>
      <c r="AD50" s="124"/>
      <c r="AE50" s="125" t="s">
        <v>206</v>
      </c>
      <c r="AF50" s="124"/>
      <c r="AG50" s="124" t="str">
        <f t="shared" ca="1" si="3"/>
        <v>مستديم</v>
      </c>
      <c r="AH50" s="131"/>
    </row>
    <row r="51" spans="1:34" s="67" customFormat="1" ht="20.149999999999999" hidden="1" customHeight="1">
      <c r="A51" s="129">
        <v>49</v>
      </c>
      <c r="B51" s="125" t="s">
        <v>50</v>
      </c>
      <c r="C51" s="125" t="s">
        <v>110</v>
      </c>
      <c r="D51" s="125" t="s">
        <v>138</v>
      </c>
      <c r="E51" s="125" t="s">
        <v>197</v>
      </c>
      <c r="F51" s="125" t="s">
        <v>389</v>
      </c>
      <c r="G51" s="125" t="s">
        <v>493</v>
      </c>
      <c r="H51" s="125"/>
      <c r="I51" s="125"/>
      <c r="J51" s="124" t="s">
        <v>367</v>
      </c>
      <c r="K51" s="125" t="s">
        <v>6</v>
      </c>
      <c r="L51" s="130"/>
      <c r="M51" s="130" t="s">
        <v>241</v>
      </c>
      <c r="N51" s="130" t="s">
        <v>206</v>
      </c>
      <c r="O51" s="125" t="s">
        <v>265</v>
      </c>
      <c r="P51" s="152">
        <v>44987</v>
      </c>
      <c r="Q51" s="152">
        <v>45643</v>
      </c>
      <c r="R51" s="124">
        <v>4</v>
      </c>
      <c r="S51" s="124">
        <f t="shared" si="7"/>
        <v>48</v>
      </c>
      <c r="T51" s="126">
        <f t="shared" si="8"/>
        <v>47104</v>
      </c>
      <c r="U51" s="124">
        <f t="shared" ca="1" si="15"/>
        <v>956</v>
      </c>
      <c r="V51" s="125" t="s">
        <v>293</v>
      </c>
      <c r="W51" s="125" t="s">
        <v>253</v>
      </c>
      <c r="X51" s="125" t="s">
        <v>412</v>
      </c>
      <c r="Y51" s="125"/>
      <c r="Z51" s="130"/>
      <c r="AA51" s="126"/>
      <c r="AB51" s="124">
        <v>11588665015</v>
      </c>
      <c r="AC51" s="126"/>
      <c r="AD51" s="124"/>
      <c r="AE51" s="125" t="s">
        <v>206</v>
      </c>
      <c r="AF51" s="124"/>
      <c r="AG51" s="124" t="str">
        <f t="shared" ca="1" si="3"/>
        <v>مستديم</v>
      </c>
      <c r="AH51" s="131"/>
    </row>
    <row r="52" spans="1:34" s="67" customFormat="1" ht="20.149999999999999" hidden="1" customHeight="1">
      <c r="A52" s="129">
        <v>50</v>
      </c>
      <c r="B52" s="125" t="s">
        <v>50</v>
      </c>
      <c r="C52" s="125" t="s">
        <v>124</v>
      </c>
      <c r="D52" s="125" t="s">
        <v>131</v>
      </c>
      <c r="E52" s="125" t="s">
        <v>197</v>
      </c>
      <c r="F52" s="125" t="s">
        <v>389</v>
      </c>
      <c r="G52" s="125" t="s">
        <v>493</v>
      </c>
      <c r="H52" s="125"/>
      <c r="I52" s="125"/>
      <c r="J52" s="124" t="s">
        <v>367</v>
      </c>
      <c r="K52" s="125" t="s">
        <v>6</v>
      </c>
      <c r="L52" s="130"/>
      <c r="M52" s="130" t="s">
        <v>241</v>
      </c>
      <c r="N52" s="130" t="s">
        <v>206</v>
      </c>
      <c r="O52" s="125" t="s">
        <v>264</v>
      </c>
      <c r="P52" s="152">
        <v>44940</v>
      </c>
      <c r="Q52" s="152">
        <v>45643</v>
      </c>
      <c r="R52" s="124">
        <v>4</v>
      </c>
      <c r="S52" s="124">
        <f t="shared" si="7"/>
        <v>48</v>
      </c>
      <c r="T52" s="126">
        <f t="shared" si="8"/>
        <v>47104</v>
      </c>
      <c r="U52" s="124">
        <f t="shared" ca="1" si="15"/>
        <v>956</v>
      </c>
      <c r="V52" s="125" t="s">
        <v>293</v>
      </c>
      <c r="W52" s="125" t="s">
        <v>253</v>
      </c>
      <c r="X52" s="125" t="s">
        <v>413</v>
      </c>
      <c r="Y52" s="125"/>
      <c r="Z52" s="130"/>
      <c r="AA52" s="126"/>
      <c r="AB52" s="124"/>
      <c r="AC52" s="126"/>
      <c r="AD52" s="124"/>
      <c r="AE52" s="125" t="s">
        <v>206</v>
      </c>
      <c r="AF52" s="124"/>
      <c r="AG52" s="124" t="str">
        <f t="shared" ca="1" si="3"/>
        <v>مستديم</v>
      </c>
      <c r="AH52" s="131"/>
    </row>
    <row r="53" spans="1:34" s="67" customFormat="1" ht="20.149999999999999" customHeight="1">
      <c r="A53" s="129">
        <v>51</v>
      </c>
      <c r="B53" s="125" t="s">
        <v>6</v>
      </c>
      <c r="C53" s="125" t="s">
        <v>6</v>
      </c>
      <c r="D53" s="125" t="s">
        <v>148</v>
      </c>
      <c r="E53" s="125" t="s">
        <v>195</v>
      </c>
      <c r="F53" s="125" t="s">
        <v>424</v>
      </c>
      <c r="G53" s="125"/>
      <c r="H53" s="125"/>
      <c r="I53" s="125" t="s">
        <v>452</v>
      </c>
      <c r="J53" s="124" t="s">
        <v>367</v>
      </c>
      <c r="K53" s="125" t="s">
        <v>6</v>
      </c>
      <c r="L53" s="130"/>
      <c r="M53" s="130" t="s">
        <v>241</v>
      </c>
      <c r="N53" s="130" t="s">
        <v>207</v>
      </c>
      <c r="O53" s="125" t="s">
        <v>480</v>
      </c>
      <c r="P53" s="152">
        <v>39524</v>
      </c>
      <c r="Q53" s="152">
        <v>45931</v>
      </c>
      <c r="R53" s="124">
        <v>1</v>
      </c>
      <c r="S53" s="124">
        <f t="shared" si="7"/>
        <v>12</v>
      </c>
      <c r="T53" s="126">
        <f t="shared" si="8"/>
        <v>46296</v>
      </c>
      <c r="U53" s="124">
        <f t="shared" ca="1" si="15"/>
        <v>148</v>
      </c>
      <c r="V53" s="125" t="s">
        <v>293</v>
      </c>
      <c r="W53" s="125" t="s">
        <v>253</v>
      </c>
      <c r="X53" s="125" t="s">
        <v>412</v>
      </c>
      <c r="Y53" s="125" t="s">
        <v>574</v>
      </c>
      <c r="Z53" s="130" t="s">
        <v>575</v>
      </c>
      <c r="AA53" s="126">
        <v>38504</v>
      </c>
      <c r="AB53" s="124">
        <v>11964897935</v>
      </c>
      <c r="AC53" s="126">
        <v>28293</v>
      </c>
      <c r="AD53" s="137"/>
      <c r="AE53" s="156" t="s">
        <v>580</v>
      </c>
      <c r="AF53" s="134"/>
      <c r="AG53" s="124" t="str">
        <f t="shared" ca="1" si="3"/>
        <v>مستديم</v>
      </c>
      <c r="AH53" s="131"/>
    </row>
    <row r="54" spans="1:34" s="67" customFormat="1" ht="20.149999999999999" customHeight="1">
      <c r="A54" s="129">
        <v>52</v>
      </c>
      <c r="B54" s="125" t="s">
        <v>6</v>
      </c>
      <c r="C54" s="125" t="s">
        <v>42</v>
      </c>
      <c r="D54" s="125" t="s">
        <v>43</v>
      </c>
      <c r="E54" s="125" t="s">
        <v>195</v>
      </c>
      <c r="F54" s="125" t="s">
        <v>425</v>
      </c>
      <c r="G54" s="125"/>
      <c r="H54" s="125"/>
      <c r="I54" s="125" t="s">
        <v>434</v>
      </c>
      <c r="J54" s="124" t="s">
        <v>367</v>
      </c>
      <c r="K54" s="125" t="s">
        <v>460</v>
      </c>
      <c r="L54" s="130"/>
      <c r="M54" s="130" t="s">
        <v>241</v>
      </c>
      <c r="N54" s="130" t="s">
        <v>207</v>
      </c>
      <c r="O54" s="125" t="s">
        <v>480</v>
      </c>
      <c r="P54" s="152">
        <v>41913</v>
      </c>
      <c r="Q54" s="152">
        <v>45931</v>
      </c>
      <c r="R54" s="124">
        <v>1</v>
      </c>
      <c r="S54" s="124">
        <f t="shared" si="7"/>
        <v>12</v>
      </c>
      <c r="T54" s="126">
        <f t="shared" si="8"/>
        <v>46296</v>
      </c>
      <c r="U54" s="124">
        <f t="shared" ca="1" si="15"/>
        <v>148</v>
      </c>
      <c r="V54" s="125" t="s">
        <v>293</v>
      </c>
      <c r="W54" s="125" t="s">
        <v>253</v>
      </c>
      <c r="X54" s="125" t="s">
        <v>413</v>
      </c>
      <c r="Y54" s="125" t="s">
        <v>548</v>
      </c>
      <c r="Z54" s="130" t="s">
        <v>576</v>
      </c>
      <c r="AA54" s="126"/>
      <c r="AB54" s="124">
        <v>10100006345</v>
      </c>
      <c r="AC54" s="126">
        <v>27667</v>
      </c>
      <c r="AD54" s="137"/>
      <c r="AE54" s="156" t="s">
        <v>580</v>
      </c>
      <c r="AF54" s="134"/>
      <c r="AG54" s="124" t="str">
        <f t="shared" ca="1" si="3"/>
        <v>مستديم</v>
      </c>
      <c r="AH54" s="131" t="s">
        <v>583</v>
      </c>
    </row>
    <row r="55" spans="1:34" s="67" customFormat="1" ht="20.149999999999999" customHeight="1">
      <c r="A55" s="129">
        <v>53</v>
      </c>
      <c r="B55" s="125" t="s">
        <v>6</v>
      </c>
      <c r="C55" s="125" t="s">
        <v>6</v>
      </c>
      <c r="D55" s="125" t="s">
        <v>146</v>
      </c>
      <c r="E55" s="125" t="s">
        <v>197</v>
      </c>
      <c r="F55" s="125" t="s">
        <v>389</v>
      </c>
      <c r="G55" s="125"/>
      <c r="H55" s="125"/>
      <c r="I55" s="125" t="s">
        <v>434</v>
      </c>
      <c r="J55" s="124" t="s">
        <v>367</v>
      </c>
      <c r="K55" s="125" t="s">
        <v>461</v>
      </c>
      <c r="L55" s="130"/>
      <c r="M55" s="130" t="s">
        <v>241</v>
      </c>
      <c r="N55" s="130" t="s">
        <v>207</v>
      </c>
      <c r="O55" s="125" t="s">
        <v>480</v>
      </c>
      <c r="P55" s="152">
        <v>44726</v>
      </c>
      <c r="Q55" s="152">
        <v>45931</v>
      </c>
      <c r="R55" s="124">
        <v>1</v>
      </c>
      <c r="S55" s="124">
        <f t="shared" si="7"/>
        <v>12</v>
      </c>
      <c r="T55" s="126">
        <f t="shared" si="8"/>
        <v>46296</v>
      </c>
      <c r="U55" s="124">
        <f t="shared" ca="1" si="15"/>
        <v>148</v>
      </c>
      <c r="V55" s="125" t="s">
        <v>539</v>
      </c>
      <c r="W55" s="125" t="s">
        <v>252</v>
      </c>
      <c r="X55" s="125" t="s">
        <v>412</v>
      </c>
      <c r="Y55" s="125"/>
      <c r="Z55" s="130"/>
      <c r="AA55" s="126"/>
      <c r="AB55" s="124"/>
      <c r="AC55" s="126"/>
      <c r="AD55" s="124"/>
      <c r="AE55" s="156" t="s">
        <v>580</v>
      </c>
      <c r="AF55" s="134"/>
      <c r="AG55" s="124" t="str">
        <f t="shared" ca="1" si="3"/>
        <v>مستديم</v>
      </c>
      <c r="AH55" s="131"/>
    </row>
    <row r="56" spans="1:34" s="67" customFormat="1" ht="20.149999999999999" customHeight="1">
      <c r="A56" s="129">
        <v>54</v>
      </c>
      <c r="B56" s="125" t="s">
        <v>6</v>
      </c>
      <c r="C56" s="125" t="s">
        <v>42</v>
      </c>
      <c r="D56" s="125" t="s">
        <v>45</v>
      </c>
      <c r="E56" s="125" t="s">
        <v>197</v>
      </c>
      <c r="F56" s="125" t="s">
        <v>389</v>
      </c>
      <c r="G56" s="125"/>
      <c r="H56" s="125"/>
      <c r="I56" s="125" t="s">
        <v>446</v>
      </c>
      <c r="J56" s="124" t="s">
        <v>367</v>
      </c>
      <c r="K56" s="125" t="s">
        <v>460</v>
      </c>
      <c r="L56" s="130"/>
      <c r="M56" s="130" t="s">
        <v>241</v>
      </c>
      <c r="N56" s="130" t="s">
        <v>207</v>
      </c>
      <c r="O56" s="125" t="s">
        <v>480</v>
      </c>
      <c r="P56" s="152">
        <v>44929</v>
      </c>
      <c r="Q56" s="152">
        <v>46025</v>
      </c>
      <c r="R56" s="124">
        <v>1</v>
      </c>
      <c r="S56" s="124">
        <f t="shared" si="7"/>
        <v>12</v>
      </c>
      <c r="T56" s="126">
        <f t="shared" si="8"/>
        <v>46390</v>
      </c>
      <c r="U56" s="124">
        <f t="shared" ca="1" si="15"/>
        <v>242</v>
      </c>
      <c r="V56" s="125" t="s">
        <v>293</v>
      </c>
      <c r="W56" s="125" t="s">
        <v>253</v>
      </c>
      <c r="X56" s="125" t="s">
        <v>412</v>
      </c>
      <c r="Y56" s="125"/>
      <c r="Z56" s="130"/>
      <c r="AA56" s="126"/>
      <c r="AB56" s="124"/>
      <c r="AC56" s="126"/>
      <c r="AD56" s="124"/>
      <c r="AE56" s="156" t="s">
        <v>580</v>
      </c>
      <c r="AF56" s="134"/>
      <c r="AG56" s="124" t="str">
        <f t="shared" ca="1" si="3"/>
        <v>مستديم</v>
      </c>
      <c r="AH56" s="131"/>
    </row>
    <row r="57" spans="1:34" s="67" customFormat="1" ht="20.149999999999999" customHeight="1">
      <c r="A57" s="129">
        <v>55</v>
      </c>
      <c r="B57" s="125" t="s">
        <v>6</v>
      </c>
      <c r="C57" s="125" t="s">
        <v>6</v>
      </c>
      <c r="D57" s="125" t="s">
        <v>151</v>
      </c>
      <c r="E57" s="125" t="s">
        <v>195</v>
      </c>
      <c r="F57" s="125" t="s">
        <v>393</v>
      </c>
      <c r="G57" s="125"/>
      <c r="H57" s="125"/>
      <c r="I57" s="125" t="s">
        <v>435</v>
      </c>
      <c r="J57" s="124" t="s">
        <v>367</v>
      </c>
      <c r="K57" s="125" t="s">
        <v>6</v>
      </c>
      <c r="L57" s="130" t="s">
        <v>344</v>
      </c>
      <c r="M57" s="130" t="s">
        <v>234</v>
      </c>
      <c r="N57" s="130" t="s">
        <v>208</v>
      </c>
      <c r="O57" s="125" t="s">
        <v>480</v>
      </c>
      <c r="P57" s="152">
        <v>44971</v>
      </c>
      <c r="Q57" s="152">
        <v>46067</v>
      </c>
      <c r="R57" s="124">
        <v>1</v>
      </c>
      <c r="S57" s="124">
        <f t="shared" si="7"/>
        <v>12</v>
      </c>
      <c r="T57" s="126">
        <f t="shared" si="8"/>
        <v>46432</v>
      </c>
      <c r="U57" s="124">
        <f t="shared" ca="1" si="15"/>
        <v>284</v>
      </c>
      <c r="V57" s="125" t="s">
        <v>293</v>
      </c>
      <c r="W57" s="125" t="s">
        <v>253</v>
      </c>
      <c r="X57" s="125" t="s">
        <v>413</v>
      </c>
      <c r="Y57" s="125"/>
      <c r="Z57" s="130"/>
      <c r="AA57" s="126"/>
      <c r="AB57" s="124">
        <v>11931528476</v>
      </c>
      <c r="AC57" s="126"/>
      <c r="AD57" s="124"/>
      <c r="AE57" s="156" t="s">
        <v>580</v>
      </c>
      <c r="AF57" s="134">
        <v>181637.28</v>
      </c>
      <c r="AG57" s="124" t="str">
        <f t="shared" ca="1" si="3"/>
        <v>مستديم</v>
      </c>
      <c r="AH57" s="131"/>
    </row>
    <row r="58" spans="1:34" s="67" customFormat="1" ht="20.149999999999999" customHeight="1">
      <c r="A58" s="129">
        <v>56</v>
      </c>
      <c r="B58" s="125" t="s">
        <v>6</v>
      </c>
      <c r="C58" s="125" t="s">
        <v>6</v>
      </c>
      <c r="D58" s="125" t="s">
        <v>245</v>
      </c>
      <c r="E58" s="125" t="s">
        <v>195</v>
      </c>
      <c r="F58" s="125" t="s">
        <v>393</v>
      </c>
      <c r="G58" s="125"/>
      <c r="H58" s="125"/>
      <c r="I58" s="125" t="s">
        <v>448</v>
      </c>
      <c r="J58" s="124" t="s">
        <v>367</v>
      </c>
      <c r="K58" s="125" t="s">
        <v>6</v>
      </c>
      <c r="L58" s="130" t="s">
        <v>377</v>
      </c>
      <c r="M58" s="130" t="s">
        <v>241</v>
      </c>
      <c r="N58" s="130" t="s">
        <v>208</v>
      </c>
      <c r="O58" s="125" t="s">
        <v>480</v>
      </c>
      <c r="P58" s="152">
        <v>44977</v>
      </c>
      <c r="Q58" s="152">
        <v>46073</v>
      </c>
      <c r="R58" s="124">
        <v>1</v>
      </c>
      <c r="S58" s="124">
        <f t="shared" si="7"/>
        <v>12</v>
      </c>
      <c r="T58" s="126">
        <f t="shared" si="8"/>
        <v>46438</v>
      </c>
      <c r="U58" s="124">
        <f t="shared" ca="1" si="15"/>
        <v>290</v>
      </c>
      <c r="V58" s="125" t="s">
        <v>539</v>
      </c>
      <c r="W58" s="125" t="s">
        <v>252</v>
      </c>
      <c r="X58" s="125" t="s">
        <v>413</v>
      </c>
      <c r="Y58" s="125"/>
      <c r="Z58" s="130"/>
      <c r="AA58" s="126"/>
      <c r="AB58" s="124"/>
      <c r="AC58" s="126"/>
      <c r="AD58" s="124"/>
      <c r="AE58" s="156" t="s">
        <v>580</v>
      </c>
      <c r="AF58" s="134">
        <v>232784.25</v>
      </c>
      <c r="AG58" s="124" t="str">
        <f t="shared" ca="1" si="3"/>
        <v>مستديم</v>
      </c>
      <c r="AH58" s="131"/>
    </row>
    <row r="59" spans="1:34" s="67" customFormat="1" ht="20.149999999999999" customHeight="1">
      <c r="A59" s="129">
        <v>57</v>
      </c>
      <c r="B59" s="125" t="s">
        <v>6</v>
      </c>
      <c r="C59" s="125" t="s">
        <v>6</v>
      </c>
      <c r="D59" s="125" t="s">
        <v>150</v>
      </c>
      <c r="E59" s="125" t="s">
        <v>195</v>
      </c>
      <c r="F59" s="125" t="s">
        <v>393</v>
      </c>
      <c r="G59" s="125"/>
      <c r="H59" s="125"/>
      <c r="I59" s="125" t="s">
        <v>443</v>
      </c>
      <c r="J59" s="124" t="s">
        <v>367</v>
      </c>
      <c r="K59" s="125" t="s">
        <v>6</v>
      </c>
      <c r="L59" s="130"/>
      <c r="M59" s="130" t="s">
        <v>236</v>
      </c>
      <c r="N59" s="130" t="s">
        <v>208</v>
      </c>
      <c r="O59" s="125" t="s">
        <v>480</v>
      </c>
      <c r="P59" s="152">
        <v>44979</v>
      </c>
      <c r="Q59" s="152">
        <v>46073</v>
      </c>
      <c r="R59" s="124">
        <v>1</v>
      </c>
      <c r="S59" s="124">
        <f t="shared" si="7"/>
        <v>12</v>
      </c>
      <c r="T59" s="126">
        <f t="shared" si="8"/>
        <v>46438</v>
      </c>
      <c r="U59" s="124">
        <f t="shared" ca="1" si="15"/>
        <v>290</v>
      </c>
      <c r="V59" s="125" t="s">
        <v>541</v>
      </c>
      <c r="W59" s="125" t="s">
        <v>252</v>
      </c>
      <c r="X59" s="125" t="s">
        <v>412</v>
      </c>
      <c r="Y59" s="125" t="s">
        <v>547</v>
      </c>
      <c r="Z59" s="130" t="s">
        <v>565</v>
      </c>
      <c r="AA59" s="126">
        <v>45008</v>
      </c>
      <c r="AB59" s="124">
        <v>12005707966</v>
      </c>
      <c r="AC59" s="126">
        <v>32476</v>
      </c>
      <c r="AD59" s="137"/>
      <c r="AE59" s="156" t="s">
        <v>580</v>
      </c>
      <c r="AF59" s="134">
        <v>219323.49</v>
      </c>
      <c r="AG59" s="124" t="str">
        <f t="shared" ca="1" si="3"/>
        <v>مستديم</v>
      </c>
      <c r="AH59" s="131"/>
    </row>
    <row r="60" spans="1:34" s="67" customFormat="1" ht="20.149999999999999" customHeight="1">
      <c r="A60" s="129">
        <v>58</v>
      </c>
      <c r="B60" s="125" t="s">
        <v>6</v>
      </c>
      <c r="C60" s="125" t="s">
        <v>6</v>
      </c>
      <c r="D60" s="125" t="s">
        <v>154</v>
      </c>
      <c r="E60" s="125" t="s">
        <v>195</v>
      </c>
      <c r="F60" s="125" t="s">
        <v>393</v>
      </c>
      <c r="G60" s="125"/>
      <c r="H60" s="125"/>
      <c r="I60" s="125" t="s">
        <v>437</v>
      </c>
      <c r="J60" s="124" t="s">
        <v>367</v>
      </c>
      <c r="K60" s="125" t="s">
        <v>6</v>
      </c>
      <c r="L60" s="130"/>
      <c r="M60" s="130" t="s">
        <v>236</v>
      </c>
      <c r="N60" s="130" t="s">
        <v>208</v>
      </c>
      <c r="O60" s="125" t="s">
        <v>480</v>
      </c>
      <c r="P60" s="152">
        <v>44979</v>
      </c>
      <c r="Q60" s="152">
        <v>46075</v>
      </c>
      <c r="R60" s="124">
        <v>1</v>
      </c>
      <c r="S60" s="124">
        <f t="shared" si="7"/>
        <v>12</v>
      </c>
      <c r="T60" s="126">
        <f t="shared" si="8"/>
        <v>46440</v>
      </c>
      <c r="U60" s="124">
        <f t="shared" ca="1" si="15"/>
        <v>292</v>
      </c>
      <c r="V60" s="125" t="s">
        <v>540</v>
      </c>
      <c r="W60" s="125" t="s">
        <v>252</v>
      </c>
      <c r="X60" s="125" t="s">
        <v>412</v>
      </c>
      <c r="Y60" s="125"/>
      <c r="Z60" s="130"/>
      <c r="AA60" s="126"/>
      <c r="AB60" s="124">
        <v>1156356333</v>
      </c>
      <c r="AC60" s="126"/>
      <c r="AD60" s="124"/>
      <c r="AE60" s="156" t="s">
        <v>580</v>
      </c>
      <c r="AF60" s="134">
        <v>204325.17</v>
      </c>
      <c r="AG60" s="124" t="str">
        <f t="shared" ca="1" si="3"/>
        <v>مستديم</v>
      </c>
      <c r="AH60" s="131"/>
    </row>
    <row r="61" spans="1:34" s="67" customFormat="1" ht="20.149999999999999" customHeight="1">
      <c r="A61" s="129">
        <v>59</v>
      </c>
      <c r="B61" s="125" t="s">
        <v>6</v>
      </c>
      <c r="C61" s="125" t="s">
        <v>6</v>
      </c>
      <c r="D61" s="125" t="s">
        <v>152</v>
      </c>
      <c r="E61" s="125" t="s">
        <v>195</v>
      </c>
      <c r="F61" s="125" t="s">
        <v>393</v>
      </c>
      <c r="G61" s="125"/>
      <c r="H61" s="125"/>
      <c r="I61" s="125" t="s">
        <v>435</v>
      </c>
      <c r="J61" s="124" t="s">
        <v>367</v>
      </c>
      <c r="K61" s="125" t="s">
        <v>6</v>
      </c>
      <c r="L61" s="130" t="s">
        <v>377</v>
      </c>
      <c r="M61" s="130" t="s">
        <v>241</v>
      </c>
      <c r="N61" s="130" t="s">
        <v>208</v>
      </c>
      <c r="O61" s="125" t="s">
        <v>480</v>
      </c>
      <c r="P61" s="152">
        <v>44979</v>
      </c>
      <c r="Q61" s="152">
        <v>46075</v>
      </c>
      <c r="R61" s="124">
        <v>1</v>
      </c>
      <c r="S61" s="124">
        <f t="shared" si="7"/>
        <v>12</v>
      </c>
      <c r="T61" s="126">
        <f t="shared" si="8"/>
        <v>46440</v>
      </c>
      <c r="U61" s="124">
        <f t="shared" ca="1" si="15"/>
        <v>292</v>
      </c>
      <c r="V61" s="125" t="s">
        <v>293</v>
      </c>
      <c r="W61" s="125" t="s">
        <v>253</v>
      </c>
      <c r="X61" s="125" t="s">
        <v>413</v>
      </c>
      <c r="Y61" s="125"/>
      <c r="Z61" s="130"/>
      <c r="AA61" s="126"/>
      <c r="AB61" s="124">
        <v>12017272389</v>
      </c>
      <c r="AC61" s="126"/>
      <c r="AD61" s="124"/>
      <c r="AE61" s="156" t="s">
        <v>580</v>
      </c>
      <c r="AF61" s="134">
        <v>227389.66</v>
      </c>
      <c r="AG61" s="124" t="str">
        <f t="shared" ca="1" si="3"/>
        <v>مستديم</v>
      </c>
      <c r="AH61" s="131"/>
    </row>
    <row r="62" spans="1:34" s="67" customFormat="1" ht="20.149999999999999" customHeight="1">
      <c r="A62" s="129">
        <v>60</v>
      </c>
      <c r="B62" s="125" t="s">
        <v>6</v>
      </c>
      <c r="C62" s="125" t="s">
        <v>6</v>
      </c>
      <c r="D62" s="125" t="s">
        <v>169</v>
      </c>
      <c r="E62" s="125" t="s">
        <v>197</v>
      </c>
      <c r="F62" s="125" t="s">
        <v>389</v>
      </c>
      <c r="G62" s="125"/>
      <c r="H62" s="125"/>
      <c r="I62" s="125"/>
      <c r="J62" s="124" t="s">
        <v>367</v>
      </c>
      <c r="K62" s="125" t="s">
        <v>461</v>
      </c>
      <c r="L62" s="130"/>
      <c r="M62" s="130" t="s">
        <v>241</v>
      </c>
      <c r="N62" s="130" t="s">
        <v>208</v>
      </c>
      <c r="O62" s="125" t="s">
        <v>480</v>
      </c>
      <c r="P62" s="152">
        <v>44986</v>
      </c>
      <c r="Q62" s="152">
        <v>46082</v>
      </c>
      <c r="R62" s="124">
        <v>1</v>
      </c>
      <c r="S62" s="124">
        <f t="shared" si="7"/>
        <v>12</v>
      </c>
      <c r="T62" s="126">
        <f t="shared" si="8"/>
        <v>46447</v>
      </c>
      <c r="U62" s="124">
        <f t="shared" ca="1" si="15"/>
        <v>299</v>
      </c>
      <c r="V62" s="125" t="s">
        <v>293</v>
      </c>
      <c r="W62" s="125" t="s">
        <v>253</v>
      </c>
      <c r="X62" s="125" t="s">
        <v>412</v>
      </c>
      <c r="Y62" s="125"/>
      <c r="Z62" s="130"/>
      <c r="AA62" s="126"/>
      <c r="AB62" s="124">
        <v>12034846622</v>
      </c>
      <c r="AC62" s="126"/>
      <c r="AD62" s="124"/>
      <c r="AE62" s="156" t="s">
        <v>580</v>
      </c>
      <c r="AF62" s="134"/>
      <c r="AG62" s="124" t="str">
        <f t="shared" ca="1" si="3"/>
        <v>مستديم</v>
      </c>
      <c r="AH62" s="131"/>
    </row>
    <row r="63" spans="1:34" s="67" customFormat="1" ht="20.149999999999999" customHeight="1">
      <c r="A63" s="129">
        <v>61</v>
      </c>
      <c r="B63" s="125" t="s">
        <v>6</v>
      </c>
      <c r="C63" s="125" t="s">
        <v>6</v>
      </c>
      <c r="D63" s="125" t="s">
        <v>174</v>
      </c>
      <c r="E63" s="125" t="s">
        <v>197</v>
      </c>
      <c r="F63" s="125" t="s">
        <v>389</v>
      </c>
      <c r="G63" s="125"/>
      <c r="H63" s="125"/>
      <c r="I63" s="125" t="s">
        <v>436</v>
      </c>
      <c r="J63" s="124" t="s">
        <v>367</v>
      </c>
      <c r="K63" s="125" t="s">
        <v>479</v>
      </c>
      <c r="L63" s="130"/>
      <c r="M63" s="130" t="s">
        <v>241</v>
      </c>
      <c r="N63" s="130" t="s">
        <v>208</v>
      </c>
      <c r="O63" s="125" t="s">
        <v>480</v>
      </c>
      <c r="P63" s="152">
        <v>44986</v>
      </c>
      <c r="Q63" s="152">
        <v>46082</v>
      </c>
      <c r="R63" s="124">
        <v>1</v>
      </c>
      <c r="S63" s="124">
        <f t="shared" si="7"/>
        <v>12</v>
      </c>
      <c r="T63" s="126">
        <f t="shared" si="8"/>
        <v>46447</v>
      </c>
      <c r="U63" s="124">
        <f t="shared" ca="1" si="15"/>
        <v>299</v>
      </c>
      <c r="V63" s="125" t="s">
        <v>540</v>
      </c>
      <c r="W63" s="125" t="s">
        <v>252</v>
      </c>
      <c r="X63" s="125" t="s">
        <v>412</v>
      </c>
      <c r="Y63" s="125"/>
      <c r="Z63" s="130"/>
      <c r="AA63" s="126"/>
      <c r="AB63" s="124">
        <v>12041513742</v>
      </c>
      <c r="AC63" s="126"/>
      <c r="AD63" s="124"/>
      <c r="AE63" s="156" t="s">
        <v>580</v>
      </c>
      <c r="AF63" s="134"/>
      <c r="AG63" s="124" t="str">
        <f t="shared" ca="1" si="3"/>
        <v>مستديم</v>
      </c>
      <c r="AH63" s="131"/>
    </row>
    <row r="64" spans="1:34" s="67" customFormat="1" ht="20.149999999999999" customHeight="1">
      <c r="A64" s="129">
        <v>62</v>
      </c>
      <c r="B64" s="125" t="s">
        <v>6</v>
      </c>
      <c r="C64" s="125" t="s">
        <v>6</v>
      </c>
      <c r="D64" s="125" t="s">
        <v>400</v>
      </c>
      <c r="E64" s="125" t="s">
        <v>197</v>
      </c>
      <c r="F64" s="125" t="s">
        <v>389</v>
      </c>
      <c r="G64" s="125"/>
      <c r="H64" s="125"/>
      <c r="I64" s="125" t="s">
        <v>435</v>
      </c>
      <c r="J64" s="124" t="s">
        <v>367</v>
      </c>
      <c r="K64" s="125" t="s">
        <v>461</v>
      </c>
      <c r="L64" s="130"/>
      <c r="M64" s="130" t="s">
        <v>241</v>
      </c>
      <c r="N64" s="130" t="s">
        <v>208</v>
      </c>
      <c r="O64" s="125" t="s">
        <v>480</v>
      </c>
      <c r="P64" s="152">
        <v>44986</v>
      </c>
      <c r="Q64" s="152">
        <v>46082</v>
      </c>
      <c r="R64" s="124">
        <v>1</v>
      </c>
      <c r="S64" s="124">
        <f t="shared" si="7"/>
        <v>12</v>
      </c>
      <c r="T64" s="126">
        <f t="shared" si="8"/>
        <v>46447</v>
      </c>
      <c r="U64" s="124">
        <f t="shared" ca="1" si="15"/>
        <v>299</v>
      </c>
      <c r="V64" s="125" t="s">
        <v>293</v>
      </c>
      <c r="W64" s="125" t="s">
        <v>253</v>
      </c>
      <c r="X64" s="125" t="s">
        <v>413</v>
      </c>
      <c r="Y64" s="125"/>
      <c r="Z64" s="130"/>
      <c r="AA64" s="126"/>
      <c r="AB64" s="124">
        <v>11281889589</v>
      </c>
      <c r="AC64" s="126"/>
      <c r="AD64" s="124"/>
      <c r="AE64" s="156" t="s">
        <v>580</v>
      </c>
      <c r="AF64" s="134"/>
      <c r="AG64" s="124" t="str">
        <f t="shared" ca="1" si="3"/>
        <v>مستديم</v>
      </c>
      <c r="AH64" s="131"/>
    </row>
    <row r="65" spans="1:34" s="67" customFormat="1" ht="20.149999999999999" customHeight="1">
      <c r="A65" s="129">
        <v>63</v>
      </c>
      <c r="B65" s="125" t="s">
        <v>6</v>
      </c>
      <c r="C65" s="125" t="s">
        <v>6</v>
      </c>
      <c r="D65" s="125" t="s">
        <v>166</v>
      </c>
      <c r="E65" s="125" t="s">
        <v>197</v>
      </c>
      <c r="F65" s="125" t="s">
        <v>389</v>
      </c>
      <c r="G65" s="125"/>
      <c r="H65" s="125"/>
      <c r="I65" s="125" t="s">
        <v>438</v>
      </c>
      <c r="J65" s="124" t="s">
        <v>367</v>
      </c>
      <c r="K65" s="125" t="s">
        <v>461</v>
      </c>
      <c r="L65" s="130"/>
      <c r="M65" s="130" t="s">
        <v>241</v>
      </c>
      <c r="N65" s="130" t="s">
        <v>208</v>
      </c>
      <c r="O65" s="125" t="s">
        <v>480</v>
      </c>
      <c r="P65" s="152">
        <v>44986</v>
      </c>
      <c r="Q65" s="152">
        <v>46082</v>
      </c>
      <c r="R65" s="124">
        <v>1</v>
      </c>
      <c r="S65" s="124">
        <f t="shared" si="7"/>
        <v>12</v>
      </c>
      <c r="T65" s="126">
        <f t="shared" si="8"/>
        <v>46447</v>
      </c>
      <c r="U65" s="124">
        <f t="shared" ca="1" si="15"/>
        <v>299</v>
      </c>
      <c r="V65" s="125" t="s">
        <v>293</v>
      </c>
      <c r="W65" s="125" t="s">
        <v>253</v>
      </c>
      <c r="X65" s="125" t="s">
        <v>413</v>
      </c>
      <c r="Y65" s="125"/>
      <c r="Z65" s="130"/>
      <c r="AA65" s="126"/>
      <c r="AB65" s="124">
        <v>19432394340</v>
      </c>
      <c r="AC65" s="126"/>
      <c r="AD65" s="124"/>
      <c r="AE65" s="156" t="s">
        <v>580</v>
      </c>
      <c r="AF65" s="134">
        <v>142745.10999999999</v>
      </c>
      <c r="AG65" s="124" t="str">
        <f t="shared" ca="1" si="3"/>
        <v>مستديم</v>
      </c>
      <c r="AH65" s="131"/>
    </row>
    <row r="66" spans="1:34" s="67" customFormat="1" ht="20.149999999999999" customHeight="1">
      <c r="A66" s="129">
        <v>64</v>
      </c>
      <c r="B66" s="125" t="s">
        <v>6</v>
      </c>
      <c r="C66" s="125" t="s">
        <v>6</v>
      </c>
      <c r="D66" s="125" t="s">
        <v>158</v>
      </c>
      <c r="E66" s="125" t="s">
        <v>197</v>
      </c>
      <c r="F66" s="125" t="s">
        <v>389</v>
      </c>
      <c r="G66" s="125"/>
      <c r="H66" s="125"/>
      <c r="I66" s="125" t="s">
        <v>458</v>
      </c>
      <c r="J66" s="124" t="s">
        <v>367</v>
      </c>
      <c r="K66" s="125" t="s">
        <v>461</v>
      </c>
      <c r="L66" s="125"/>
      <c r="M66" s="130" t="s">
        <v>241</v>
      </c>
      <c r="N66" s="130" t="s">
        <v>208</v>
      </c>
      <c r="O66" s="125" t="s">
        <v>480</v>
      </c>
      <c r="P66" s="152">
        <v>44986</v>
      </c>
      <c r="Q66" s="152">
        <v>46082</v>
      </c>
      <c r="R66" s="124">
        <v>1</v>
      </c>
      <c r="S66" s="124">
        <f t="shared" si="7"/>
        <v>12</v>
      </c>
      <c r="T66" s="126">
        <f t="shared" si="8"/>
        <v>46447</v>
      </c>
      <c r="U66" s="124">
        <f t="shared" ca="1" si="15"/>
        <v>299</v>
      </c>
      <c r="V66" s="125" t="s">
        <v>293</v>
      </c>
      <c r="W66" s="125" t="s">
        <v>253</v>
      </c>
      <c r="X66" s="125" t="s">
        <v>412</v>
      </c>
      <c r="Y66" s="125"/>
      <c r="Z66" s="130"/>
      <c r="AA66" s="126"/>
      <c r="AB66" s="124">
        <v>10200101761</v>
      </c>
      <c r="AC66" s="126"/>
      <c r="AD66" s="124"/>
      <c r="AE66" s="156" t="s">
        <v>580</v>
      </c>
      <c r="AF66" s="134"/>
      <c r="AG66" s="124" t="str">
        <f t="shared" ca="1" si="3"/>
        <v>مستديم</v>
      </c>
      <c r="AH66" s="131"/>
    </row>
    <row r="67" spans="1:34" s="67" customFormat="1" ht="20.149999999999999" customHeight="1">
      <c r="A67" s="129">
        <v>65</v>
      </c>
      <c r="B67" s="125" t="s">
        <v>6</v>
      </c>
      <c r="C67" s="125" t="s">
        <v>6</v>
      </c>
      <c r="D67" s="125" t="s">
        <v>157</v>
      </c>
      <c r="E67" s="125" t="s">
        <v>197</v>
      </c>
      <c r="F67" s="125" t="s">
        <v>389</v>
      </c>
      <c r="G67" s="125"/>
      <c r="H67" s="125"/>
      <c r="I67" s="125" t="s">
        <v>442</v>
      </c>
      <c r="J67" s="124" t="s">
        <v>367</v>
      </c>
      <c r="K67" s="125" t="s">
        <v>461</v>
      </c>
      <c r="L67" s="130"/>
      <c r="M67" s="130" t="s">
        <v>241</v>
      </c>
      <c r="N67" s="130" t="s">
        <v>208</v>
      </c>
      <c r="O67" s="125" t="s">
        <v>480</v>
      </c>
      <c r="P67" s="152">
        <v>44986</v>
      </c>
      <c r="Q67" s="152">
        <v>46082</v>
      </c>
      <c r="R67" s="124">
        <v>1</v>
      </c>
      <c r="S67" s="124">
        <f t="shared" si="7"/>
        <v>12</v>
      </c>
      <c r="T67" s="126">
        <f t="shared" si="8"/>
        <v>46447</v>
      </c>
      <c r="U67" s="124">
        <f t="shared" ca="1" si="15"/>
        <v>299</v>
      </c>
      <c r="V67" s="125" t="s">
        <v>293</v>
      </c>
      <c r="W67" s="125" t="s">
        <v>253</v>
      </c>
      <c r="X67" s="125" t="s">
        <v>413</v>
      </c>
      <c r="Y67" s="125"/>
      <c r="Z67" s="130"/>
      <c r="AA67" s="126"/>
      <c r="AB67" s="124">
        <v>12080415268</v>
      </c>
      <c r="AC67" s="126"/>
      <c r="AD67" s="124"/>
      <c r="AE67" s="156" t="s">
        <v>580</v>
      </c>
      <c r="AF67" s="134"/>
      <c r="AG67" s="124" t="str">
        <f t="shared" ca="1" si="3"/>
        <v>مستديم</v>
      </c>
      <c r="AH67" s="131"/>
    </row>
    <row r="68" spans="1:34" s="67" customFormat="1" ht="20.149999999999999" customHeight="1">
      <c r="A68" s="129">
        <v>66</v>
      </c>
      <c r="B68" s="125" t="s">
        <v>6</v>
      </c>
      <c r="C68" s="125" t="s">
        <v>6</v>
      </c>
      <c r="D68" s="125" t="s">
        <v>171</v>
      </c>
      <c r="E68" s="125" t="s">
        <v>197</v>
      </c>
      <c r="F68" s="125" t="s">
        <v>389</v>
      </c>
      <c r="G68" s="125"/>
      <c r="H68" s="125"/>
      <c r="I68" s="125"/>
      <c r="J68" s="124" t="s">
        <v>367</v>
      </c>
      <c r="K68" s="125" t="s">
        <v>479</v>
      </c>
      <c r="L68" s="130"/>
      <c r="M68" s="130" t="s">
        <v>241</v>
      </c>
      <c r="N68" s="130" t="s">
        <v>208</v>
      </c>
      <c r="O68" s="125" t="s">
        <v>480</v>
      </c>
      <c r="P68" s="152">
        <v>44986</v>
      </c>
      <c r="Q68" s="152">
        <v>46082</v>
      </c>
      <c r="R68" s="124">
        <v>1</v>
      </c>
      <c r="S68" s="124">
        <f t="shared" ref="S68:S99" si="19">R68*12</f>
        <v>12</v>
      </c>
      <c r="T68" s="126">
        <f t="shared" ref="T68:T99" si="20">EDATE(Q68,S68)</f>
        <v>46447</v>
      </c>
      <c r="U68" s="124">
        <f t="shared" ca="1" si="15"/>
        <v>299</v>
      </c>
      <c r="V68" s="125" t="s">
        <v>539</v>
      </c>
      <c r="W68" s="125" t="s">
        <v>252</v>
      </c>
      <c r="X68" s="125" t="s">
        <v>412</v>
      </c>
      <c r="Y68" s="125"/>
      <c r="Z68" s="130"/>
      <c r="AA68" s="126"/>
      <c r="AB68" s="124"/>
      <c r="AC68" s="126"/>
      <c r="AD68" s="124"/>
      <c r="AE68" s="156" t="s">
        <v>580</v>
      </c>
      <c r="AF68" s="134"/>
      <c r="AG68" s="124" t="str">
        <f t="shared" ref="AG68:AG131" ca="1" si="21">IF(T69&lt;TODAY(),"منتهي",
   IF(T69-TODAY()&lt;=30,"ينتهي قريباً",
      IF(DATEDIF(P69,T69,"Y")&gt;=2,"مستديم","ساري")
   )
)</f>
        <v>مستديم</v>
      </c>
      <c r="AH68" s="131"/>
    </row>
    <row r="69" spans="1:34" s="67" customFormat="1" ht="20.149999999999999" customHeight="1">
      <c r="A69" s="129">
        <v>67</v>
      </c>
      <c r="B69" s="125" t="s">
        <v>6</v>
      </c>
      <c r="C69" s="125" t="s">
        <v>6</v>
      </c>
      <c r="D69" s="125" t="s">
        <v>161</v>
      </c>
      <c r="E69" s="125" t="s">
        <v>197</v>
      </c>
      <c r="F69" s="125" t="s">
        <v>389</v>
      </c>
      <c r="G69" s="125"/>
      <c r="H69" s="125"/>
      <c r="I69" s="125"/>
      <c r="J69" s="124" t="s">
        <v>368</v>
      </c>
      <c r="K69" s="125" t="s">
        <v>479</v>
      </c>
      <c r="L69" s="130"/>
      <c r="M69" s="130" t="s">
        <v>241</v>
      </c>
      <c r="N69" s="130" t="s">
        <v>208</v>
      </c>
      <c r="O69" s="125" t="s">
        <v>480</v>
      </c>
      <c r="P69" s="152">
        <v>44986</v>
      </c>
      <c r="Q69" s="152">
        <v>46082</v>
      </c>
      <c r="R69" s="124">
        <v>1</v>
      </c>
      <c r="S69" s="124">
        <f t="shared" si="19"/>
        <v>12</v>
      </c>
      <c r="T69" s="126">
        <f t="shared" si="20"/>
        <v>46447</v>
      </c>
      <c r="U69" s="124">
        <f t="shared" ca="1" si="15"/>
        <v>299</v>
      </c>
      <c r="V69" s="125" t="s">
        <v>293</v>
      </c>
      <c r="W69" s="125" t="s">
        <v>253</v>
      </c>
      <c r="X69" s="125" t="s">
        <v>412</v>
      </c>
      <c r="Y69" s="125" t="s">
        <v>554</v>
      </c>
      <c r="Z69" s="130" t="s">
        <v>554</v>
      </c>
      <c r="AA69" s="126">
        <v>0</v>
      </c>
      <c r="AB69" s="124">
        <v>11510001663</v>
      </c>
      <c r="AC69" s="126">
        <v>28856</v>
      </c>
      <c r="AD69" s="137"/>
      <c r="AE69" s="156" t="s">
        <v>580</v>
      </c>
      <c r="AF69" s="134"/>
      <c r="AG69" s="124" t="str">
        <f t="shared" ca="1" si="21"/>
        <v>مستديم</v>
      </c>
      <c r="AH69" s="131"/>
    </row>
    <row r="70" spans="1:34" s="67" customFormat="1" ht="20.149999999999999" customHeight="1">
      <c r="A70" s="129">
        <v>68</v>
      </c>
      <c r="B70" s="125" t="s">
        <v>6</v>
      </c>
      <c r="C70" s="125" t="s">
        <v>6</v>
      </c>
      <c r="D70" s="125" t="s">
        <v>175</v>
      </c>
      <c r="E70" s="125" t="s">
        <v>197</v>
      </c>
      <c r="F70" s="125" t="s">
        <v>389</v>
      </c>
      <c r="G70" s="125"/>
      <c r="H70" s="125"/>
      <c r="I70" s="125" t="s">
        <v>457</v>
      </c>
      <c r="J70" s="124" t="s">
        <v>367</v>
      </c>
      <c r="K70" s="125" t="s">
        <v>6</v>
      </c>
      <c r="L70" s="130"/>
      <c r="M70" s="130" t="s">
        <v>241</v>
      </c>
      <c r="N70" s="130" t="s">
        <v>208</v>
      </c>
      <c r="O70" s="125" t="s">
        <v>480</v>
      </c>
      <c r="P70" s="152">
        <v>44986</v>
      </c>
      <c r="Q70" s="152">
        <v>46082</v>
      </c>
      <c r="R70" s="124">
        <v>1</v>
      </c>
      <c r="S70" s="124">
        <f t="shared" si="19"/>
        <v>12</v>
      </c>
      <c r="T70" s="126">
        <f t="shared" si="20"/>
        <v>46447</v>
      </c>
      <c r="U70" s="124">
        <f t="shared" ca="1" si="15"/>
        <v>299</v>
      </c>
      <c r="V70" s="125" t="s">
        <v>293</v>
      </c>
      <c r="W70" s="125" t="s">
        <v>253</v>
      </c>
      <c r="X70" s="125" t="s">
        <v>412</v>
      </c>
      <c r="Y70" s="125"/>
      <c r="Z70" s="130"/>
      <c r="AA70" s="126"/>
      <c r="AB70" s="124"/>
      <c r="AC70" s="126"/>
      <c r="AD70" s="124"/>
      <c r="AE70" s="156" t="s">
        <v>580</v>
      </c>
      <c r="AF70" s="134"/>
      <c r="AG70" s="124" t="str">
        <f t="shared" ca="1" si="21"/>
        <v>مستديم</v>
      </c>
      <c r="AH70" s="131"/>
    </row>
    <row r="71" spans="1:34" s="67" customFormat="1" ht="20.149999999999999" customHeight="1">
      <c r="A71" s="129">
        <v>69</v>
      </c>
      <c r="B71" s="125" t="s">
        <v>6</v>
      </c>
      <c r="C71" s="125" t="s">
        <v>6</v>
      </c>
      <c r="D71" s="125" t="s">
        <v>170</v>
      </c>
      <c r="E71" s="125" t="s">
        <v>197</v>
      </c>
      <c r="F71" s="125" t="s">
        <v>389</v>
      </c>
      <c r="G71" s="125"/>
      <c r="H71" s="125"/>
      <c r="I71" s="125" t="s">
        <v>448</v>
      </c>
      <c r="J71" s="124" t="s">
        <v>367</v>
      </c>
      <c r="K71" s="125" t="s">
        <v>479</v>
      </c>
      <c r="L71" s="130"/>
      <c r="M71" s="130" t="s">
        <v>241</v>
      </c>
      <c r="N71" s="130" t="s">
        <v>208</v>
      </c>
      <c r="O71" s="125" t="s">
        <v>480</v>
      </c>
      <c r="P71" s="152">
        <v>44986</v>
      </c>
      <c r="Q71" s="152">
        <v>46082</v>
      </c>
      <c r="R71" s="124">
        <v>1</v>
      </c>
      <c r="S71" s="124">
        <f t="shared" si="19"/>
        <v>12</v>
      </c>
      <c r="T71" s="126">
        <f t="shared" si="20"/>
        <v>46447</v>
      </c>
      <c r="U71" s="124">
        <f t="shared" ca="1" si="15"/>
        <v>299</v>
      </c>
      <c r="V71" s="125" t="s">
        <v>293</v>
      </c>
      <c r="W71" s="125" t="s">
        <v>253</v>
      </c>
      <c r="X71" s="125" t="s">
        <v>412</v>
      </c>
      <c r="Y71" s="125"/>
      <c r="Z71" s="130"/>
      <c r="AA71" s="126"/>
      <c r="AB71" s="124"/>
      <c r="AC71" s="126"/>
      <c r="AD71" s="124"/>
      <c r="AE71" s="156" t="s">
        <v>580</v>
      </c>
      <c r="AF71" s="134"/>
      <c r="AG71" s="124" t="str">
        <f t="shared" ca="1" si="21"/>
        <v>مستديم</v>
      </c>
      <c r="AH71" s="131"/>
    </row>
    <row r="72" spans="1:34" s="67" customFormat="1" ht="20.149999999999999" customHeight="1">
      <c r="A72" s="129">
        <v>70</v>
      </c>
      <c r="B72" s="125" t="s">
        <v>6</v>
      </c>
      <c r="C72" s="125" t="s">
        <v>6</v>
      </c>
      <c r="D72" s="125" t="s">
        <v>163</v>
      </c>
      <c r="E72" s="125" t="s">
        <v>201</v>
      </c>
      <c r="F72" s="125" t="s">
        <v>524</v>
      </c>
      <c r="G72" s="125"/>
      <c r="H72" s="125"/>
      <c r="I72" s="125" t="s">
        <v>440</v>
      </c>
      <c r="J72" s="124" t="s">
        <v>367</v>
      </c>
      <c r="K72" s="125" t="s">
        <v>479</v>
      </c>
      <c r="L72" s="130"/>
      <c r="M72" s="130" t="s">
        <v>241</v>
      </c>
      <c r="N72" s="130" t="s">
        <v>208</v>
      </c>
      <c r="O72" s="125" t="s">
        <v>480</v>
      </c>
      <c r="P72" s="152">
        <v>44986</v>
      </c>
      <c r="Q72" s="152">
        <v>46082</v>
      </c>
      <c r="R72" s="124">
        <v>1</v>
      </c>
      <c r="S72" s="124">
        <f t="shared" si="19"/>
        <v>12</v>
      </c>
      <c r="T72" s="126">
        <f t="shared" si="20"/>
        <v>46447</v>
      </c>
      <c r="U72" s="124">
        <f t="shared" ca="1" si="15"/>
        <v>299</v>
      </c>
      <c r="V72" s="125" t="s">
        <v>539</v>
      </c>
      <c r="W72" s="125" t="s">
        <v>252</v>
      </c>
      <c r="X72" s="125" t="s">
        <v>413</v>
      </c>
      <c r="Y72" s="125"/>
      <c r="Z72" s="130"/>
      <c r="AA72" s="126"/>
      <c r="AB72" s="124">
        <v>11925026645</v>
      </c>
      <c r="AC72" s="126"/>
      <c r="AD72" s="124"/>
      <c r="AE72" s="156" t="s">
        <v>580</v>
      </c>
      <c r="AF72" s="134">
        <v>153173.96</v>
      </c>
      <c r="AG72" s="124" t="str">
        <f t="shared" ca="1" si="21"/>
        <v>مستديم</v>
      </c>
      <c r="AH72" s="131"/>
    </row>
    <row r="73" spans="1:34" s="67" customFormat="1" ht="20.149999999999999" customHeight="1">
      <c r="A73" s="129">
        <v>71</v>
      </c>
      <c r="B73" s="125" t="s">
        <v>6</v>
      </c>
      <c r="C73" s="125" t="s">
        <v>6</v>
      </c>
      <c r="D73" s="125" t="s">
        <v>162</v>
      </c>
      <c r="E73" s="125" t="s">
        <v>197</v>
      </c>
      <c r="F73" s="125" t="s">
        <v>389</v>
      </c>
      <c r="G73" s="125"/>
      <c r="H73" s="125"/>
      <c r="I73" s="125" t="s">
        <v>438</v>
      </c>
      <c r="J73" s="124" t="s">
        <v>367</v>
      </c>
      <c r="K73" s="125" t="s">
        <v>479</v>
      </c>
      <c r="L73" s="125"/>
      <c r="M73" s="130" t="s">
        <v>234</v>
      </c>
      <c r="N73" s="130" t="s">
        <v>208</v>
      </c>
      <c r="O73" s="125" t="s">
        <v>480</v>
      </c>
      <c r="P73" s="152">
        <v>44986</v>
      </c>
      <c r="Q73" s="152">
        <v>46082</v>
      </c>
      <c r="R73" s="124">
        <v>1</v>
      </c>
      <c r="S73" s="124">
        <f t="shared" si="19"/>
        <v>12</v>
      </c>
      <c r="T73" s="126">
        <f t="shared" si="20"/>
        <v>46447</v>
      </c>
      <c r="U73" s="124">
        <f t="shared" ca="1" si="15"/>
        <v>299</v>
      </c>
      <c r="V73" s="125" t="s">
        <v>540</v>
      </c>
      <c r="W73" s="125" t="s">
        <v>252</v>
      </c>
      <c r="X73" s="125" t="s">
        <v>413</v>
      </c>
      <c r="Y73" s="125"/>
      <c r="Z73" s="130"/>
      <c r="AA73" s="126"/>
      <c r="AB73" s="124">
        <v>11531698492</v>
      </c>
      <c r="AC73" s="126"/>
      <c r="AD73" s="124"/>
      <c r="AE73" s="156" t="s">
        <v>580</v>
      </c>
      <c r="AF73" s="134"/>
      <c r="AG73" s="124" t="str">
        <f t="shared" ca="1" si="21"/>
        <v>مستديم</v>
      </c>
      <c r="AH73" s="131"/>
    </row>
    <row r="74" spans="1:34" s="67" customFormat="1" ht="20.149999999999999" customHeight="1">
      <c r="A74" s="129">
        <v>72</v>
      </c>
      <c r="B74" s="125" t="s">
        <v>6</v>
      </c>
      <c r="C74" s="125" t="s">
        <v>6</v>
      </c>
      <c r="D74" s="125" t="s">
        <v>176</v>
      </c>
      <c r="E74" s="125" t="s">
        <v>195</v>
      </c>
      <c r="F74" s="125" t="s">
        <v>393</v>
      </c>
      <c r="G74" s="125"/>
      <c r="H74" s="125"/>
      <c r="I74" s="125" t="s">
        <v>448</v>
      </c>
      <c r="J74" s="124" t="s">
        <v>367</v>
      </c>
      <c r="K74" s="125" t="s">
        <v>6</v>
      </c>
      <c r="L74" s="130" t="s">
        <v>378</v>
      </c>
      <c r="M74" s="130" t="s">
        <v>241</v>
      </c>
      <c r="N74" s="130" t="s">
        <v>208</v>
      </c>
      <c r="O74" s="125" t="s">
        <v>480</v>
      </c>
      <c r="P74" s="152">
        <v>44992</v>
      </c>
      <c r="Q74" s="152">
        <v>46088</v>
      </c>
      <c r="R74" s="124">
        <v>1</v>
      </c>
      <c r="S74" s="124">
        <f t="shared" si="19"/>
        <v>12</v>
      </c>
      <c r="T74" s="126">
        <f t="shared" si="20"/>
        <v>46453</v>
      </c>
      <c r="U74" s="124">
        <f t="shared" ca="1" si="15"/>
        <v>305</v>
      </c>
      <c r="V74" s="125" t="s">
        <v>539</v>
      </c>
      <c r="W74" s="125" t="s">
        <v>252</v>
      </c>
      <c r="X74" s="125" t="s">
        <v>413</v>
      </c>
      <c r="Y74" s="125"/>
      <c r="Z74" s="130"/>
      <c r="AA74" s="126"/>
      <c r="AB74" s="124"/>
      <c r="AC74" s="126"/>
      <c r="AD74" s="124"/>
      <c r="AE74" s="156" t="s">
        <v>580</v>
      </c>
      <c r="AF74" s="134">
        <v>161109.76000000001</v>
      </c>
      <c r="AG74" s="124" t="str">
        <f t="shared" ca="1" si="21"/>
        <v>مستديم</v>
      </c>
      <c r="AH74" s="131"/>
    </row>
    <row r="75" spans="1:34" s="67" customFormat="1" ht="20.149999999999999" customHeight="1">
      <c r="A75" s="129">
        <v>73</v>
      </c>
      <c r="B75" s="125" t="s">
        <v>6</v>
      </c>
      <c r="C75" s="125" t="s">
        <v>6</v>
      </c>
      <c r="D75" s="125" t="s">
        <v>177</v>
      </c>
      <c r="E75" s="125" t="s">
        <v>195</v>
      </c>
      <c r="F75" s="125" t="s">
        <v>393</v>
      </c>
      <c r="G75" s="125"/>
      <c r="H75" s="125"/>
      <c r="I75" s="125" t="s">
        <v>448</v>
      </c>
      <c r="J75" s="124" t="s">
        <v>367</v>
      </c>
      <c r="K75" s="125" t="s">
        <v>6</v>
      </c>
      <c r="L75" s="130" t="s">
        <v>338</v>
      </c>
      <c r="M75" s="130" t="s">
        <v>241</v>
      </c>
      <c r="N75" s="130" t="s">
        <v>208</v>
      </c>
      <c r="O75" s="125" t="s">
        <v>480</v>
      </c>
      <c r="P75" s="152">
        <v>44992</v>
      </c>
      <c r="Q75" s="152">
        <v>46088</v>
      </c>
      <c r="R75" s="124">
        <v>1</v>
      </c>
      <c r="S75" s="124">
        <f t="shared" si="19"/>
        <v>12</v>
      </c>
      <c r="T75" s="126">
        <f t="shared" si="20"/>
        <v>46453</v>
      </c>
      <c r="U75" s="124">
        <f t="shared" ca="1" si="15"/>
        <v>305</v>
      </c>
      <c r="V75" s="125" t="s">
        <v>293</v>
      </c>
      <c r="W75" s="125" t="s">
        <v>253</v>
      </c>
      <c r="X75" s="125" t="s">
        <v>413</v>
      </c>
      <c r="Y75" s="125"/>
      <c r="Z75" s="130"/>
      <c r="AA75" s="126"/>
      <c r="AB75" s="124"/>
      <c r="AC75" s="126"/>
      <c r="AD75" s="124"/>
      <c r="AE75" s="156" t="s">
        <v>580</v>
      </c>
      <c r="AF75" s="134">
        <v>161109.76000000001</v>
      </c>
      <c r="AG75" s="124" t="str">
        <f t="shared" ca="1" si="21"/>
        <v>مستديم</v>
      </c>
      <c r="AH75" s="131"/>
    </row>
    <row r="76" spans="1:34" s="67" customFormat="1" ht="20.149999999999999" customHeight="1">
      <c r="A76" s="129">
        <v>74</v>
      </c>
      <c r="B76" s="125" t="s">
        <v>6</v>
      </c>
      <c r="C76" s="125" t="s">
        <v>6</v>
      </c>
      <c r="D76" s="125" t="s">
        <v>179</v>
      </c>
      <c r="E76" s="125" t="s">
        <v>195</v>
      </c>
      <c r="F76" s="125" t="s">
        <v>380</v>
      </c>
      <c r="G76" s="125"/>
      <c r="H76" s="125"/>
      <c r="I76" s="125" t="s">
        <v>438</v>
      </c>
      <c r="J76" s="124" t="s">
        <v>367</v>
      </c>
      <c r="K76" s="125" t="s">
        <v>6</v>
      </c>
      <c r="L76" s="130"/>
      <c r="M76" s="130" t="s">
        <v>241</v>
      </c>
      <c r="N76" s="130" t="s">
        <v>208</v>
      </c>
      <c r="O76" s="125" t="s">
        <v>480</v>
      </c>
      <c r="P76" s="152">
        <v>44993</v>
      </c>
      <c r="Q76" s="152">
        <v>46089</v>
      </c>
      <c r="R76" s="124">
        <v>1</v>
      </c>
      <c r="S76" s="124">
        <f t="shared" si="19"/>
        <v>12</v>
      </c>
      <c r="T76" s="126">
        <f t="shared" si="20"/>
        <v>46454</v>
      </c>
      <c r="U76" s="124">
        <f t="shared" ref="U76:U107" ca="1" si="22">T76-TODAY()</f>
        <v>306</v>
      </c>
      <c r="V76" s="125" t="s">
        <v>539</v>
      </c>
      <c r="W76" s="125" t="s">
        <v>252</v>
      </c>
      <c r="X76" s="125" t="s">
        <v>412</v>
      </c>
      <c r="Y76" s="125"/>
      <c r="Z76" s="130"/>
      <c r="AA76" s="126"/>
      <c r="AB76" s="124">
        <v>11968397636</v>
      </c>
      <c r="AC76" s="126"/>
      <c r="AD76" s="124"/>
      <c r="AE76" s="156" t="s">
        <v>580</v>
      </c>
      <c r="AF76" s="134">
        <v>254089.73</v>
      </c>
      <c r="AG76" s="124" t="str">
        <f t="shared" ca="1" si="21"/>
        <v>مستديم</v>
      </c>
      <c r="AH76" s="131"/>
    </row>
    <row r="77" spans="1:34" s="67" customFormat="1" ht="20.149999999999999" customHeight="1">
      <c r="A77" s="129">
        <v>75</v>
      </c>
      <c r="B77" s="125" t="s">
        <v>6</v>
      </c>
      <c r="C77" s="125" t="s">
        <v>6</v>
      </c>
      <c r="D77" s="125" t="s">
        <v>178</v>
      </c>
      <c r="E77" s="125" t="s">
        <v>195</v>
      </c>
      <c r="F77" s="125" t="s">
        <v>380</v>
      </c>
      <c r="G77" s="125"/>
      <c r="H77" s="125"/>
      <c r="I77" s="125" t="s">
        <v>435</v>
      </c>
      <c r="J77" s="124" t="s">
        <v>367</v>
      </c>
      <c r="K77" s="125" t="s">
        <v>6</v>
      </c>
      <c r="L77" s="130"/>
      <c r="M77" s="130" t="s">
        <v>241</v>
      </c>
      <c r="N77" s="130" t="s">
        <v>208</v>
      </c>
      <c r="O77" s="125" t="s">
        <v>480</v>
      </c>
      <c r="P77" s="152">
        <v>44993</v>
      </c>
      <c r="Q77" s="152">
        <v>46089</v>
      </c>
      <c r="R77" s="124">
        <v>1</v>
      </c>
      <c r="S77" s="124">
        <f t="shared" si="19"/>
        <v>12</v>
      </c>
      <c r="T77" s="126">
        <f t="shared" si="20"/>
        <v>46454</v>
      </c>
      <c r="U77" s="124">
        <f t="shared" ca="1" si="22"/>
        <v>306</v>
      </c>
      <c r="V77" s="125" t="s">
        <v>539</v>
      </c>
      <c r="W77" s="125" t="s">
        <v>252</v>
      </c>
      <c r="X77" s="125" t="s">
        <v>413</v>
      </c>
      <c r="Y77" s="125"/>
      <c r="Z77" s="130"/>
      <c r="AA77" s="126"/>
      <c r="AB77" s="124">
        <v>11292678353</v>
      </c>
      <c r="AC77" s="126"/>
      <c r="AD77" s="124"/>
      <c r="AE77" s="156" t="s">
        <v>580</v>
      </c>
      <c r="AF77" s="134">
        <v>232784.25</v>
      </c>
      <c r="AG77" s="124" t="str">
        <f t="shared" ca="1" si="21"/>
        <v>مستديم</v>
      </c>
      <c r="AH77" s="131"/>
    </row>
    <row r="78" spans="1:34" s="67" customFormat="1" ht="20.149999999999999" customHeight="1">
      <c r="A78" s="129">
        <v>76</v>
      </c>
      <c r="B78" s="125" t="s">
        <v>6</v>
      </c>
      <c r="C78" s="125" t="s">
        <v>6</v>
      </c>
      <c r="D78" s="125" t="s">
        <v>181</v>
      </c>
      <c r="E78" s="125" t="s">
        <v>198</v>
      </c>
      <c r="F78" s="125" t="s">
        <v>384</v>
      </c>
      <c r="G78" s="125"/>
      <c r="H78" s="125"/>
      <c r="I78" s="125" t="s">
        <v>435</v>
      </c>
      <c r="J78" s="124" t="s">
        <v>367</v>
      </c>
      <c r="K78" s="125" t="s">
        <v>6</v>
      </c>
      <c r="L78" s="130"/>
      <c r="M78" s="130" t="s">
        <v>241</v>
      </c>
      <c r="N78" s="130" t="s">
        <v>208</v>
      </c>
      <c r="O78" s="125" t="s">
        <v>480</v>
      </c>
      <c r="P78" s="152">
        <v>44997</v>
      </c>
      <c r="Q78" s="152">
        <v>46093</v>
      </c>
      <c r="R78" s="124">
        <v>1</v>
      </c>
      <c r="S78" s="124">
        <f t="shared" si="19"/>
        <v>12</v>
      </c>
      <c r="T78" s="126">
        <f t="shared" si="20"/>
        <v>46458</v>
      </c>
      <c r="U78" s="124">
        <f t="shared" ca="1" si="22"/>
        <v>310</v>
      </c>
      <c r="V78" s="125" t="s">
        <v>539</v>
      </c>
      <c r="W78" s="125" t="s">
        <v>252</v>
      </c>
      <c r="X78" s="125" t="s">
        <v>413</v>
      </c>
      <c r="Y78" s="125"/>
      <c r="Z78" s="130"/>
      <c r="AA78" s="126"/>
      <c r="AB78" s="124">
        <v>17874838855</v>
      </c>
      <c r="AC78" s="126"/>
      <c r="AD78" s="124"/>
      <c r="AE78" s="156" t="s">
        <v>580</v>
      </c>
      <c r="AF78" s="134">
        <v>206749.69</v>
      </c>
      <c r="AG78" s="124" t="str">
        <f t="shared" ca="1" si="21"/>
        <v>مستديم</v>
      </c>
      <c r="AH78" s="131"/>
    </row>
    <row r="79" spans="1:34" s="67" customFormat="1" ht="20.149999999999999" customHeight="1">
      <c r="A79" s="129">
        <v>77</v>
      </c>
      <c r="B79" s="125" t="s">
        <v>6</v>
      </c>
      <c r="C79" s="125" t="s">
        <v>6</v>
      </c>
      <c r="D79" s="125" t="s">
        <v>180</v>
      </c>
      <c r="E79" s="125" t="s">
        <v>195</v>
      </c>
      <c r="F79" s="125" t="s">
        <v>393</v>
      </c>
      <c r="G79" s="125"/>
      <c r="H79" s="125"/>
      <c r="I79" s="125" t="s">
        <v>448</v>
      </c>
      <c r="J79" s="124" t="s">
        <v>367</v>
      </c>
      <c r="K79" s="125" t="s">
        <v>6</v>
      </c>
      <c r="L79" s="130"/>
      <c r="M79" s="130" t="s">
        <v>241</v>
      </c>
      <c r="N79" s="130" t="s">
        <v>208</v>
      </c>
      <c r="O79" s="125" t="s">
        <v>480</v>
      </c>
      <c r="P79" s="152">
        <v>44997</v>
      </c>
      <c r="Q79" s="152">
        <v>46093</v>
      </c>
      <c r="R79" s="124">
        <v>1</v>
      </c>
      <c r="S79" s="124">
        <f t="shared" si="19"/>
        <v>12</v>
      </c>
      <c r="T79" s="126">
        <f t="shared" si="20"/>
        <v>46458</v>
      </c>
      <c r="U79" s="124">
        <f t="shared" ca="1" si="22"/>
        <v>310</v>
      </c>
      <c r="V79" s="125" t="s">
        <v>293</v>
      </c>
      <c r="W79" s="125" t="s">
        <v>253</v>
      </c>
      <c r="X79" s="125" t="s">
        <v>413</v>
      </c>
      <c r="Y79" s="125"/>
      <c r="Z79" s="130"/>
      <c r="AA79" s="126"/>
      <c r="AB79" s="124"/>
      <c r="AC79" s="126"/>
      <c r="AD79" s="124"/>
      <c r="AE79" s="156" t="s">
        <v>580</v>
      </c>
      <c r="AF79" s="134">
        <v>219323.49</v>
      </c>
      <c r="AG79" s="124" t="str">
        <f t="shared" ca="1" si="21"/>
        <v>مستديم</v>
      </c>
      <c r="AH79" s="131"/>
    </row>
    <row r="80" spans="1:34" s="67" customFormat="1" ht="20.149999999999999" customHeight="1">
      <c r="A80" s="129">
        <v>78</v>
      </c>
      <c r="B80" s="125" t="s">
        <v>6</v>
      </c>
      <c r="C80" s="125" t="s">
        <v>6</v>
      </c>
      <c r="D80" s="125" t="s">
        <v>185</v>
      </c>
      <c r="E80" s="125" t="s">
        <v>195</v>
      </c>
      <c r="F80" s="125" t="s">
        <v>393</v>
      </c>
      <c r="G80" s="125"/>
      <c r="H80" s="125"/>
      <c r="I80" s="125" t="s">
        <v>439</v>
      </c>
      <c r="J80" s="124" t="s">
        <v>367</v>
      </c>
      <c r="K80" s="125" t="s">
        <v>6</v>
      </c>
      <c r="L80" s="130" t="s">
        <v>345</v>
      </c>
      <c r="M80" s="130" t="s">
        <v>241</v>
      </c>
      <c r="N80" s="130" t="s">
        <v>208</v>
      </c>
      <c r="O80" s="125" t="s">
        <v>480</v>
      </c>
      <c r="P80" s="152">
        <v>45001</v>
      </c>
      <c r="Q80" s="152">
        <v>46097</v>
      </c>
      <c r="R80" s="124">
        <v>1</v>
      </c>
      <c r="S80" s="124">
        <f t="shared" si="19"/>
        <v>12</v>
      </c>
      <c r="T80" s="126">
        <f t="shared" si="20"/>
        <v>46462</v>
      </c>
      <c r="U80" s="124">
        <f t="shared" ca="1" si="22"/>
        <v>314</v>
      </c>
      <c r="V80" s="125" t="s">
        <v>293</v>
      </c>
      <c r="W80" s="125" t="s">
        <v>253</v>
      </c>
      <c r="X80" s="125" t="s">
        <v>412</v>
      </c>
      <c r="Y80" s="125" t="s">
        <v>547</v>
      </c>
      <c r="Z80" s="130" t="s">
        <v>584</v>
      </c>
      <c r="AA80" s="126">
        <v>40689</v>
      </c>
      <c r="AB80" s="124">
        <v>11995513391</v>
      </c>
      <c r="AC80" s="126">
        <v>32788</v>
      </c>
      <c r="AD80" s="124"/>
      <c r="AE80" s="156" t="s">
        <v>580</v>
      </c>
      <c r="AF80" s="134">
        <v>161109.76000000001</v>
      </c>
      <c r="AG80" s="124" t="str">
        <f t="shared" ca="1" si="21"/>
        <v>منتهي</v>
      </c>
      <c r="AH80" s="131"/>
    </row>
    <row r="81" spans="1:16282" s="67" customFormat="1" ht="19.5" customHeight="1">
      <c r="A81" s="129">
        <v>79</v>
      </c>
      <c r="B81" s="125" t="s">
        <v>6</v>
      </c>
      <c r="C81" s="125" t="s">
        <v>6</v>
      </c>
      <c r="D81" s="125" t="s">
        <v>189</v>
      </c>
      <c r="E81" s="125" t="s">
        <v>198</v>
      </c>
      <c r="F81" s="125" t="s">
        <v>387</v>
      </c>
      <c r="G81" s="125"/>
      <c r="H81" s="125"/>
      <c r="I81" s="125" t="s">
        <v>448</v>
      </c>
      <c r="J81" s="124" t="s">
        <v>367</v>
      </c>
      <c r="K81" s="125" t="s">
        <v>6</v>
      </c>
      <c r="L81" s="130"/>
      <c r="M81" s="130" t="s">
        <v>241</v>
      </c>
      <c r="N81" s="130" t="s">
        <v>208</v>
      </c>
      <c r="O81" s="125" t="s">
        <v>480</v>
      </c>
      <c r="P81" s="152">
        <v>45025</v>
      </c>
      <c r="Q81" s="152">
        <v>45756</v>
      </c>
      <c r="R81" s="124">
        <v>1</v>
      </c>
      <c r="S81" s="124">
        <f t="shared" si="19"/>
        <v>12</v>
      </c>
      <c r="T81" s="126">
        <f t="shared" si="20"/>
        <v>46121</v>
      </c>
      <c r="U81" s="124">
        <f t="shared" ca="1" si="22"/>
        <v>-27</v>
      </c>
      <c r="V81" s="125" t="s">
        <v>293</v>
      </c>
      <c r="W81" s="125" t="s">
        <v>253</v>
      </c>
      <c r="X81" s="125" t="s">
        <v>412</v>
      </c>
      <c r="Y81" s="125"/>
      <c r="Z81" s="130"/>
      <c r="AA81" s="126"/>
      <c r="AB81" s="124">
        <v>20497831020</v>
      </c>
      <c r="AC81" s="126"/>
      <c r="AD81" s="124"/>
      <c r="AE81" s="156" t="s">
        <v>580</v>
      </c>
      <c r="AF81" s="134">
        <v>161109.76000000001</v>
      </c>
      <c r="AG81" s="124" t="str">
        <f t="shared" ca="1" si="21"/>
        <v>مستديم</v>
      </c>
      <c r="AH81" s="131"/>
    </row>
    <row r="82" spans="1:16282" s="67" customFormat="1" ht="19.5" customHeight="1">
      <c r="A82" s="129">
        <v>80</v>
      </c>
      <c r="B82" s="125" t="s">
        <v>6</v>
      </c>
      <c r="C82" s="125" t="s">
        <v>6</v>
      </c>
      <c r="D82" s="125" t="s">
        <v>217</v>
      </c>
      <c r="E82" s="125" t="s">
        <v>195</v>
      </c>
      <c r="F82" s="125" t="s">
        <v>380</v>
      </c>
      <c r="G82" s="125"/>
      <c r="H82" s="125"/>
      <c r="I82" s="125" t="s">
        <v>454</v>
      </c>
      <c r="J82" s="124" t="s">
        <v>367</v>
      </c>
      <c r="K82" s="125" t="s">
        <v>6</v>
      </c>
      <c r="L82" s="130"/>
      <c r="M82" s="130" t="s">
        <v>241</v>
      </c>
      <c r="N82" s="130" t="s">
        <v>208</v>
      </c>
      <c r="O82" s="125" t="s">
        <v>480</v>
      </c>
      <c r="P82" s="152">
        <v>45092</v>
      </c>
      <c r="Q82" s="152">
        <v>45823</v>
      </c>
      <c r="R82" s="124">
        <v>1</v>
      </c>
      <c r="S82" s="124">
        <f t="shared" si="19"/>
        <v>12</v>
      </c>
      <c r="T82" s="126">
        <f t="shared" si="20"/>
        <v>46188</v>
      </c>
      <c r="U82" s="124">
        <f t="shared" ca="1" si="22"/>
        <v>40</v>
      </c>
      <c r="V82" s="125" t="s">
        <v>539</v>
      </c>
      <c r="W82" s="125" t="s">
        <v>252</v>
      </c>
      <c r="X82" s="125" t="s">
        <v>413</v>
      </c>
      <c r="Y82" s="125"/>
      <c r="Z82" s="130"/>
      <c r="AA82" s="126"/>
      <c r="AB82" s="124">
        <v>12016530387</v>
      </c>
      <c r="AC82" s="126"/>
      <c r="AD82" s="124"/>
      <c r="AE82" s="156" t="s">
        <v>580</v>
      </c>
      <c r="AF82" s="134">
        <v>222000.36</v>
      </c>
      <c r="AG82" s="124" t="str">
        <f t="shared" ca="1" si="21"/>
        <v>مستديم</v>
      </c>
      <c r="AH82" s="131"/>
    </row>
    <row r="83" spans="1:16282" s="67" customFormat="1" ht="20.149999999999999" customHeight="1">
      <c r="A83" s="129">
        <v>81</v>
      </c>
      <c r="B83" s="125" t="s">
        <v>6</v>
      </c>
      <c r="C83" s="125" t="s">
        <v>6</v>
      </c>
      <c r="D83" s="125" t="s">
        <v>216</v>
      </c>
      <c r="E83" s="125" t="s">
        <v>195</v>
      </c>
      <c r="F83" s="125" t="s">
        <v>393</v>
      </c>
      <c r="G83" s="125"/>
      <c r="H83" s="125"/>
      <c r="I83" s="125" t="s">
        <v>445</v>
      </c>
      <c r="J83" s="124" t="s">
        <v>367</v>
      </c>
      <c r="K83" s="125" t="s">
        <v>6</v>
      </c>
      <c r="L83" s="130" t="s">
        <v>376</v>
      </c>
      <c r="M83" s="130" t="s">
        <v>241</v>
      </c>
      <c r="N83" s="130" t="s">
        <v>208</v>
      </c>
      <c r="O83" s="125" t="s">
        <v>480</v>
      </c>
      <c r="P83" s="152">
        <v>45095</v>
      </c>
      <c r="Q83" s="152">
        <v>45826</v>
      </c>
      <c r="R83" s="124">
        <v>1</v>
      </c>
      <c r="S83" s="124">
        <f t="shared" si="19"/>
        <v>12</v>
      </c>
      <c r="T83" s="126">
        <f t="shared" si="20"/>
        <v>46191</v>
      </c>
      <c r="U83" s="124">
        <f t="shared" ca="1" si="22"/>
        <v>43</v>
      </c>
      <c r="V83" s="125" t="s">
        <v>539</v>
      </c>
      <c r="W83" s="125" t="s">
        <v>252</v>
      </c>
      <c r="X83" s="125" t="s">
        <v>413</v>
      </c>
      <c r="Y83" s="125"/>
      <c r="Z83" s="130"/>
      <c r="AA83" s="126"/>
      <c r="AB83" s="124"/>
      <c r="AC83" s="126"/>
      <c r="AD83" s="124"/>
      <c r="AE83" s="156" t="s">
        <v>580</v>
      </c>
      <c r="AF83" s="134">
        <v>182036.9</v>
      </c>
      <c r="AG83" s="124" t="str">
        <f t="shared" ca="1" si="21"/>
        <v>مستديم</v>
      </c>
      <c r="AH83" s="131"/>
    </row>
    <row r="84" spans="1:16282" s="67" customFormat="1" ht="20.149999999999999" customHeight="1">
      <c r="A84" s="129">
        <v>82</v>
      </c>
      <c r="B84" s="125" t="s">
        <v>6</v>
      </c>
      <c r="C84" s="125" t="s">
        <v>6</v>
      </c>
      <c r="D84" s="125" t="s">
        <v>215</v>
      </c>
      <c r="E84" s="125" t="s">
        <v>195</v>
      </c>
      <c r="F84" s="125" t="s">
        <v>393</v>
      </c>
      <c r="G84" s="125"/>
      <c r="H84" s="125"/>
      <c r="I84" s="125" t="s">
        <v>451</v>
      </c>
      <c r="J84" s="124" t="s">
        <v>367</v>
      </c>
      <c r="K84" s="125" t="s">
        <v>6</v>
      </c>
      <c r="L84" s="130" t="s">
        <v>345</v>
      </c>
      <c r="M84" s="130" t="s">
        <v>241</v>
      </c>
      <c r="N84" s="130" t="s">
        <v>208</v>
      </c>
      <c r="O84" s="125" t="s">
        <v>480</v>
      </c>
      <c r="P84" s="152">
        <v>45095</v>
      </c>
      <c r="Q84" s="152">
        <v>45826</v>
      </c>
      <c r="R84" s="124">
        <v>1</v>
      </c>
      <c r="S84" s="124">
        <f t="shared" si="19"/>
        <v>12</v>
      </c>
      <c r="T84" s="126">
        <f t="shared" si="20"/>
        <v>46191</v>
      </c>
      <c r="U84" s="124">
        <f t="shared" ca="1" si="22"/>
        <v>43</v>
      </c>
      <c r="V84" s="125" t="s">
        <v>539</v>
      </c>
      <c r="W84" s="125" t="s">
        <v>252</v>
      </c>
      <c r="X84" s="125" t="s">
        <v>413</v>
      </c>
      <c r="Y84" s="125"/>
      <c r="Z84" s="130"/>
      <c r="AA84" s="126"/>
      <c r="AB84" s="124">
        <v>11478281799</v>
      </c>
      <c r="AC84" s="126"/>
      <c r="AD84" s="124"/>
      <c r="AE84" s="156" t="s">
        <v>580</v>
      </c>
      <c r="AF84" s="134">
        <v>211641.44</v>
      </c>
      <c r="AG84" s="124" t="str">
        <f t="shared" ca="1" si="21"/>
        <v>مستديم</v>
      </c>
      <c r="AH84" s="131"/>
    </row>
    <row r="85" spans="1:16282" s="67" customFormat="1" ht="20.149999999999999" customHeight="1">
      <c r="A85" s="129">
        <v>83</v>
      </c>
      <c r="B85" s="125" t="s">
        <v>6</v>
      </c>
      <c r="C85" s="125" t="s">
        <v>6</v>
      </c>
      <c r="D85" s="125" t="s">
        <v>219</v>
      </c>
      <c r="E85" s="125" t="s">
        <v>194</v>
      </c>
      <c r="F85" s="125" t="s">
        <v>393</v>
      </c>
      <c r="G85" s="125"/>
      <c r="H85" s="125"/>
      <c r="I85" s="125" t="s">
        <v>434</v>
      </c>
      <c r="J85" s="124" t="s">
        <v>367</v>
      </c>
      <c r="K85" s="125" t="s">
        <v>6</v>
      </c>
      <c r="L85" s="130" t="s">
        <v>344</v>
      </c>
      <c r="M85" s="130" t="s">
        <v>241</v>
      </c>
      <c r="N85" s="130" t="s">
        <v>208</v>
      </c>
      <c r="O85" s="125" t="s">
        <v>480</v>
      </c>
      <c r="P85" s="152">
        <v>45153</v>
      </c>
      <c r="Q85" s="152">
        <v>45884</v>
      </c>
      <c r="R85" s="124">
        <v>1</v>
      </c>
      <c r="S85" s="124">
        <f t="shared" si="19"/>
        <v>12</v>
      </c>
      <c r="T85" s="126">
        <f t="shared" si="20"/>
        <v>46249</v>
      </c>
      <c r="U85" s="124">
        <f t="shared" ca="1" si="22"/>
        <v>101</v>
      </c>
      <c r="V85" s="125" t="s">
        <v>539</v>
      </c>
      <c r="W85" s="125" t="s">
        <v>252</v>
      </c>
      <c r="X85" s="125" t="s">
        <v>413</v>
      </c>
      <c r="Y85" s="125" t="s">
        <v>547</v>
      </c>
      <c r="Z85" s="130" t="s">
        <v>553</v>
      </c>
      <c r="AA85" s="126">
        <v>39887</v>
      </c>
      <c r="AB85" s="124">
        <v>12230516141</v>
      </c>
      <c r="AC85" s="126">
        <v>31504</v>
      </c>
      <c r="AD85" s="137"/>
      <c r="AE85" s="156" t="s">
        <v>580</v>
      </c>
      <c r="AF85" s="134"/>
      <c r="AG85" s="124" t="str">
        <f t="shared" ca="1" si="21"/>
        <v>مستديم</v>
      </c>
      <c r="AH85" s="131"/>
    </row>
    <row r="86" spans="1:16282" s="67" customFormat="1" ht="20.149999999999999" customHeight="1">
      <c r="A86" s="129">
        <v>84</v>
      </c>
      <c r="B86" s="125" t="s">
        <v>6</v>
      </c>
      <c r="C86" s="125" t="s">
        <v>6</v>
      </c>
      <c r="D86" s="125" t="s">
        <v>311</v>
      </c>
      <c r="E86" s="125" t="s">
        <v>195</v>
      </c>
      <c r="F86" s="125" t="s">
        <v>380</v>
      </c>
      <c r="G86" s="125"/>
      <c r="H86" s="125"/>
      <c r="I86" s="125" t="s">
        <v>433</v>
      </c>
      <c r="J86" s="124" t="s">
        <v>367</v>
      </c>
      <c r="K86" s="125" t="s">
        <v>6</v>
      </c>
      <c r="L86" s="130"/>
      <c r="M86" s="130" t="s">
        <v>241</v>
      </c>
      <c r="N86" s="130" t="s">
        <v>208</v>
      </c>
      <c r="O86" s="125" t="s">
        <v>480</v>
      </c>
      <c r="P86" s="152">
        <v>45167</v>
      </c>
      <c r="Q86" s="152">
        <v>45898</v>
      </c>
      <c r="R86" s="124">
        <v>1</v>
      </c>
      <c r="S86" s="124">
        <f t="shared" si="19"/>
        <v>12</v>
      </c>
      <c r="T86" s="126">
        <f t="shared" si="20"/>
        <v>46263</v>
      </c>
      <c r="U86" s="124">
        <f t="shared" ca="1" si="22"/>
        <v>115</v>
      </c>
      <c r="V86" s="125" t="s">
        <v>539</v>
      </c>
      <c r="W86" s="125" t="s">
        <v>252</v>
      </c>
      <c r="X86" s="125" t="s">
        <v>412</v>
      </c>
      <c r="Y86" s="125" t="s">
        <v>547</v>
      </c>
      <c r="Z86" s="130" t="s">
        <v>564</v>
      </c>
      <c r="AA86" s="126">
        <v>38769</v>
      </c>
      <c r="AB86" s="124">
        <v>10100002841</v>
      </c>
      <c r="AC86" s="126">
        <v>29587</v>
      </c>
      <c r="AD86" s="137"/>
      <c r="AE86" s="156" t="s">
        <v>580</v>
      </c>
      <c r="AF86" s="134"/>
      <c r="AG86" s="124" t="str">
        <f t="shared" ca="1" si="21"/>
        <v>مستديم</v>
      </c>
      <c r="AH86" s="131"/>
    </row>
    <row r="87" spans="1:16282" s="67" customFormat="1" ht="20.149999999999999" customHeight="1">
      <c r="A87" s="129">
        <v>85</v>
      </c>
      <c r="B87" s="125" t="s">
        <v>6</v>
      </c>
      <c r="C87" s="125" t="s">
        <v>6</v>
      </c>
      <c r="D87" s="125" t="s">
        <v>308</v>
      </c>
      <c r="E87" s="125" t="s">
        <v>195</v>
      </c>
      <c r="F87" s="125" t="s">
        <v>380</v>
      </c>
      <c r="G87" s="125"/>
      <c r="H87" s="125"/>
      <c r="I87" s="125" t="s">
        <v>434</v>
      </c>
      <c r="J87" s="124" t="s">
        <v>367</v>
      </c>
      <c r="K87" s="125" t="s">
        <v>6</v>
      </c>
      <c r="L87" s="130"/>
      <c r="M87" s="130" t="s">
        <v>234</v>
      </c>
      <c r="N87" s="130" t="s">
        <v>208</v>
      </c>
      <c r="O87" s="125" t="s">
        <v>480</v>
      </c>
      <c r="P87" s="152">
        <v>45167</v>
      </c>
      <c r="Q87" s="152">
        <v>45898</v>
      </c>
      <c r="R87" s="124">
        <v>1</v>
      </c>
      <c r="S87" s="124">
        <f t="shared" si="19"/>
        <v>12</v>
      </c>
      <c r="T87" s="126">
        <f t="shared" si="20"/>
        <v>46263</v>
      </c>
      <c r="U87" s="124">
        <f t="shared" ca="1" si="22"/>
        <v>115</v>
      </c>
      <c r="V87" s="125" t="s">
        <v>293</v>
      </c>
      <c r="W87" s="125" t="s">
        <v>253</v>
      </c>
      <c r="X87" s="125" t="s">
        <v>413</v>
      </c>
      <c r="Y87" s="125" t="s">
        <v>572</v>
      </c>
      <c r="Z87" s="130" t="s">
        <v>553</v>
      </c>
      <c r="AA87" s="126">
        <v>38005</v>
      </c>
      <c r="AB87" s="124"/>
      <c r="AC87" s="126"/>
      <c r="AD87" s="124"/>
      <c r="AE87" s="156" t="s">
        <v>580</v>
      </c>
      <c r="AF87" s="134"/>
      <c r="AG87" s="124" t="str">
        <f t="shared" ca="1" si="21"/>
        <v>مستديم</v>
      </c>
      <c r="AH87" s="131" t="s">
        <v>586</v>
      </c>
    </row>
    <row r="88" spans="1:16282" s="67" customFormat="1" ht="20.149999999999999" customHeight="1">
      <c r="A88" s="129">
        <v>86</v>
      </c>
      <c r="B88" s="125" t="s">
        <v>6</v>
      </c>
      <c r="C88" s="125" t="s">
        <v>6</v>
      </c>
      <c r="D88" s="125" t="s">
        <v>222</v>
      </c>
      <c r="E88" s="125" t="s">
        <v>195</v>
      </c>
      <c r="F88" s="125" t="s">
        <v>393</v>
      </c>
      <c r="G88" s="125"/>
      <c r="H88" s="125"/>
      <c r="I88" s="125" t="s">
        <v>434</v>
      </c>
      <c r="J88" s="124" t="s">
        <v>368</v>
      </c>
      <c r="K88" s="125" t="s">
        <v>6</v>
      </c>
      <c r="L88" s="130" t="s">
        <v>345</v>
      </c>
      <c r="M88" s="130" t="s">
        <v>238</v>
      </c>
      <c r="N88" s="130" t="s">
        <v>208</v>
      </c>
      <c r="O88" s="125" t="s">
        <v>480</v>
      </c>
      <c r="P88" s="152">
        <v>45190</v>
      </c>
      <c r="Q88" s="152">
        <v>45921</v>
      </c>
      <c r="R88" s="124">
        <v>1</v>
      </c>
      <c r="S88" s="124">
        <f t="shared" si="19"/>
        <v>12</v>
      </c>
      <c r="T88" s="126">
        <f t="shared" si="20"/>
        <v>46286</v>
      </c>
      <c r="U88" s="124">
        <f t="shared" ca="1" si="22"/>
        <v>138</v>
      </c>
      <c r="V88" s="125" t="s">
        <v>293</v>
      </c>
      <c r="W88" s="125" t="s">
        <v>253</v>
      </c>
      <c r="X88" s="125" t="s">
        <v>412</v>
      </c>
      <c r="Y88" s="125"/>
      <c r="Z88" s="130"/>
      <c r="AA88" s="126"/>
      <c r="AB88" s="124"/>
      <c r="AC88" s="126"/>
      <c r="AD88" s="124"/>
      <c r="AE88" s="156" t="s">
        <v>580</v>
      </c>
      <c r="AF88" s="134"/>
      <c r="AG88" s="124" t="str">
        <f t="shared" ca="1" si="21"/>
        <v>مستديم</v>
      </c>
      <c r="AH88" s="131"/>
    </row>
    <row r="89" spans="1:16282" s="67" customFormat="1" ht="20.149999999999999" customHeight="1">
      <c r="A89" s="129">
        <v>87</v>
      </c>
      <c r="B89" s="125" t="s">
        <v>6</v>
      </c>
      <c r="C89" s="125" t="s">
        <v>6</v>
      </c>
      <c r="D89" s="125" t="s">
        <v>223</v>
      </c>
      <c r="E89" s="125" t="s">
        <v>195</v>
      </c>
      <c r="F89" s="125" t="s">
        <v>393</v>
      </c>
      <c r="G89" s="125"/>
      <c r="H89" s="125"/>
      <c r="I89" s="125" t="s">
        <v>441</v>
      </c>
      <c r="J89" s="124" t="s">
        <v>367</v>
      </c>
      <c r="K89" s="125" t="s">
        <v>6</v>
      </c>
      <c r="L89" s="130" t="s">
        <v>338</v>
      </c>
      <c r="M89" s="130" t="s">
        <v>241</v>
      </c>
      <c r="N89" s="130" t="s">
        <v>208</v>
      </c>
      <c r="O89" s="125" t="s">
        <v>480</v>
      </c>
      <c r="P89" s="152">
        <v>45199</v>
      </c>
      <c r="Q89" s="152">
        <v>45930</v>
      </c>
      <c r="R89" s="124">
        <v>1</v>
      </c>
      <c r="S89" s="124">
        <f t="shared" si="19"/>
        <v>12</v>
      </c>
      <c r="T89" s="126">
        <f t="shared" si="20"/>
        <v>46295</v>
      </c>
      <c r="U89" s="124">
        <f t="shared" ca="1" si="22"/>
        <v>147</v>
      </c>
      <c r="V89" s="125" t="s">
        <v>293</v>
      </c>
      <c r="W89" s="125" t="s">
        <v>253</v>
      </c>
      <c r="X89" s="125" t="s">
        <v>413</v>
      </c>
      <c r="Y89" s="125" t="s">
        <v>551</v>
      </c>
      <c r="Z89" s="130" t="s">
        <v>565</v>
      </c>
      <c r="AA89" s="126">
        <v>43789</v>
      </c>
      <c r="AB89" s="124"/>
      <c r="AC89" s="126"/>
      <c r="AD89" s="124"/>
      <c r="AE89" s="156" t="s">
        <v>580</v>
      </c>
      <c r="AF89" s="134"/>
      <c r="AG89" s="124" t="str">
        <f t="shared" ca="1" si="21"/>
        <v>مستديم</v>
      </c>
      <c r="AH89" s="131" t="s">
        <v>577</v>
      </c>
    </row>
    <row r="90" spans="1:16282" s="67" customFormat="1" ht="20.149999999999999" customHeight="1">
      <c r="A90" s="129">
        <v>88</v>
      </c>
      <c r="B90" s="125" t="s">
        <v>6</v>
      </c>
      <c r="C90" s="125" t="s">
        <v>6</v>
      </c>
      <c r="D90" s="125" t="s">
        <v>224</v>
      </c>
      <c r="E90" s="125" t="s">
        <v>195</v>
      </c>
      <c r="F90" s="125" t="s">
        <v>393</v>
      </c>
      <c r="G90" s="125"/>
      <c r="H90" s="125"/>
      <c r="I90" s="125" t="s">
        <v>434</v>
      </c>
      <c r="J90" s="124" t="s">
        <v>367</v>
      </c>
      <c r="K90" s="125" t="s">
        <v>6</v>
      </c>
      <c r="L90" s="130" t="s">
        <v>344</v>
      </c>
      <c r="M90" s="130" t="s">
        <v>242</v>
      </c>
      <c r="N90" s="130" t="s">
        <v>208</v>
      </c>
      <c r="O90" s="125" t="s">
        <v>480</v>
      </c>
      <c r="P90" s="152">
        <v>45202</v>
      </c>
      <c r="Q90" s="152">
        <v>45933</v>
      </c>
      <c r="R90" s="124">
        <v>1</v>
      </c>
      <c r="S90" s="124">
        <f t="shared" si="19"/>
        <v>12</v>
      </c>
      <c r="T90" s="126">
        <f t="shared" si="20"/>
        <v>46298</v>
      </c>
      <c r="U90" s="124">
        <f t="shared" ca="1" si="22"/>
        <v>150</v>
      </c>
      <c r="V90" s="125" t="s">
        <v>293</v>
      </c>
      <c r="W90" s="125" t="s">
        <v>253</v>
      </c>
      <c r="X90" s="125" t="s">
        <v>412</v>
      </c>
      <c r="Y90" s="125"/>
      <c r="Z90" s="130"/>
      <c r="AA90" s="126"/>
      <c r="AB90" s="124">
        <v>11880417206</v>
      </c>
      <c r="AC90" s="126">
        <v>34836</v>
      </c>
      <c r="AD90" s="124"/>
      <c r="AE90" s="156" t="s">
        <v>580</v>
      </c>
      <c r="AF90" s="134"/>
      <c r="AG90" s="124" t="str">
        <f t="shared" ca="1" si="21"/>
        <v>مستديم</v>
      </c>
      <c r="AH90" s="131" t="s">
        <v>585</v>
      </c>
    </row>
    <row r="91" spans="1:16282" s="67" customFormat="1" ht="20.149999999999999" customHeight="1">
      <c r="A91" s="129">
        <v>89</v>
      </c>
      <c r="B91" s="125" t="s">
        <v>6</v>
      </c>
      <c r="C91" s="125" t="s">
        <v>6</v>
      </c>
      <c r="D91" s="125" t="s">
        <v>227</v>
      </c>
      <c r="E91" s="125" t="s">
        <v>195</v>
      </c>
      <c r="F91" s="125" t="s">
        <v>393</v>
      </c>
      <c r="G91" s="125"/>
      <c r="H91" s="125"/>
      <c r="I91" s="125" t="s">
        <v>432</v>
      </c>
      <c r="J91" s="124" t="s">
        <v>367</v>
      </c>
      <c r="K91" s="125" t="s">
        <v>6</v>
      </c>
      <c r="L91" s="130" t="s">
        <v>344</v>
      </c>
      <c r="M91" s="130" t="s">
        <v>241</v>
      </c>
      <c r="N91" s="130" t="s">
        <v>208</v>
      </c>
      <c r="O91" s="125" t="s">
        <v>480</v>
      </c>
      <c r="P91" s="152">
        <v>45211</v>
      </c>
      <c r="Q91" s="152">
        <v>45942</v>
      </c>
      <c r="R91" s="124">
        <v>1</v>
      </c>
      <c r="S91" s="124">
        <f t="shared" si="19"/>
        <v>12</v>
      </c>
      <c r="T91" s="126">
        <f t="shared" si="20"/>
        <v>46307</v>
      </c>
      <c r="U91" s="124">
        <f t="shared" ca="1" si="22"/>
        <v>159</v>
      </c>
      <c r="V91" s="125" t="s">
        <v>293</v>
      </c>
      <c r="W91" s="125" t="s">
        <v>253</v>
      </c>
      <c r="X91" s="125" t="s">
        <v>412</v>
      </c>
      <c r="Y91" s="125"/>
      <c r="Z91" s="130"/>
      <c r="AA91" s="126"/>
      <c r="AB91" s="124"/>
      <c r="AC91" s="126"/>
      <c r="AD91" s="124"/>
      <c r="AE91" s="156" t="s">
        <v>580</v>
      </c>
      <c r="AF91" s="134"/>
      <c r="AG91" s="124" t="str">
        <f t="shared" ca="1" si="21"/>
        <v>مستديم</v>
      </c>
      <c r="AH91" s="131" t="s">
        <v>587</v>
      </c>
    </row>
    <row r="92" spans="1:16282" s="67" customFormat="1" ht="20.149999999999999" customHeight="1">
      <c r="A92" s="129">
        <v>90</v>
      </c>
      <c r="B92" s="125" t="s">
        <v>6</v>
      </c>
      <c r="C92" s="125" t="s">
        <v>6</v>
      </c>
      <c r="D92" s="125" t="s">
        <v>226</v>
      </c>
      <c r="E92" s="125" t="s">
        <v>195</v>
      </c>
      <c r="F92" s="125" t="s">
        <v>393</v>
      </c>
      <c r="G92" s="125"/>
      <c r="H92" s="125"/>
      <c r="I92" s="125" t="s">
        <v>434</v>
      </c>
      <c r="J92" s="124" t="s">
        <v>367</v>
      </c>
      <c r="K92" s="125" t="s">
        <v>6</v>
      </c>
      <c r="L92" s="130" t="s">
        <v>344</v>
      </c>
      <c r="M92" s="130" t="s">
        <v>236</v>
      </c>
      <c r="N92" s="130" t="s">
        <v>208</v>
      </c>
      <c r="O92" s="125" t="s">
        <v>480</v>
      </c>
      <c r="P92" s="152">
        <v>45211</v>
      </c>
      <c r="Q92" s="152">
        <v>45942</v>
      </c>
      <c r="R92" s="124">
        <v>1</v>
      </c>
      <c r="S92" s="124">
        <f t="shared" si="19"/>
        <v>12</v>
      </c>
      <c r="T92" s="126">
        <f t="shared" si="20"/>
        <v>46307</v>
      </c>
      <c r="U92" s="124">
        <f t="shared" ca="1" si="22"/>
        <v>159</v>
      </c>
      <c r="V92" s="125" t="s">
        <v>293</v>
      </c>
      <c r="W92" s="125" t="s">
        <v>253</v>
      </c>
      <c r="X92" s="125" t="s">
        <v>412</v>
      </c>
      <c r="Y92" s="125"/>
      <c r="Z92" s="130"/>
      <c r="AA92" s="126"/>
      <c r="AB92" s="124">
        <v>11937793998</v>
      </c>
      <c r="AC92" s="126"/>
      <c r="AD92" s="124"/>
      <c r="AE92" s="156" t="s">
        <v>580</v>
      </c>
      <c r="AF92" s="134"/>
      <c r="AG92" s="124" t="str">
        <f t="shared" ca="1" si="21"/>
        <v>مستديم</v>
      </c>
      <c r="AH92" s="131"/>
    </row>
    <row r="93" spans="1:16282" s="67" customFormat="1" ht="20.149999999999999" customHeight="1">
      <c r="A93" s="129">
        <v>91</v>
      </c>
      <c r="B93" s="125" t="s">
        <v>6</v>
      </c>
      <c r="C93" s="125" t="s">
        <v>6</v>
      </c>
      <c r="D93" s="125" t="s">
        <v>248</v>
      </c>
      <c r="E93" s="125" t="s">
        <v>195</v>
      </c>
      <c r="F93" s="125" t="s">
        <v>393</v>
      </c>
      <c r="G93" s="125"/>
      <c r="H93" s="125"/>
      <c r="I93" s="125" t="s">
        <v>445</v>
      </c>
      <c r="J93" s="124" t="s">
        <v>367</v>
      </c>
      <c r="K93" s="125" t="s">
        <v>6</v>
      </c>
      <c r="L93" s="130" t="s">
        <v>341</v>
      </c>
      <c r="M93" s="130" t="s">
        <v>241</v>
      </c>
      <c r="N93" s="130" t="s">
        <v>208</v>
      </c>
      <c r="O93" s="125" t="s">
        <v>480</v>
      </c>
      <c r="P93" s="152">
        <v>45242</v>
      </c>
      <c r="Q93" s="152">
        <v>45973</v>
      </c>
      <c r="R93" s="124">
        <v>1</v>
      </c>
      <c r="S93" s="124">
        <f t="shared" si="19"/>
        <v>12</v>
      </c>
      <c r="T93" s="126">
        <f t="shared" si="20"/>
        <v>46338</v>
      </c>
      <c r="U93" s="124">
        <f t="shared" ca="1" si="22"/>
        <v>190</v>
      </c>
      <c r="V93" s="125" t="s">
        <v>293</v>
      </c>
      <c r="W93" s="125" t="s">
        <v>253</v>
      </c>
      <c r="X93" s="125" t="s">
        <v>413</v>
      </c>
      <c r="Y93" s="125"/>
      <c r="Z93" s="130"/>
      <c r="AA93" s="126"/>
      <c r="AB93" s="124"/>
      <c r="AC93" s="126"/>
      <c r="AD93" s="124"/>
      <c r="AE93" s="156" t="s">
        <v>580</v>
      </c>
      <c r="AF93" s="134"/>
      <c r="AG93" s="124" t="str">
        <f t="shared" ca="1" si="21"/>
        <v>مستديم</v>
      </c>
      <c r="AH93" s="131"/>
    </row>
    <row r="94" spans="1:16282" s="68" customFormat="1" ht="20.149999999999999" customHeight="1">
      <c r="A94" s="129">
        <v>92</v>
      </c>
      <c r="B94" s="125" t="s">
        <v>6</v>
      </c>
      <c r="C94" s="125" t="s">
        <v>6</v>
      </c>
      <c r="D94" s="125" t="s">
        <v>254</v>
      </c>
      <c r="E94" s="125" t="s">
        <v>195</v>
      </c>
      <c r="F94" s="125" t="s">
        <v>393</v>
      </c>
      <c r="G94" s="125"/>
      <c r="H94" s="125"/>
      <c r="I94" s="125" t="s">
        <v>438</v>
      </c>
      <c r="J94" s="124" t="s">
        <v>367</v>
      </c>
      <c r="K94" s="125" t="s">
        <v>6</v>
      </c>
      <c r="L94" s="130"/>
      <c r="M94" s="130" t="s">
        <v>241</v>
      </c>
      <c r="N94" s="130" t="s">
        <v>208</v>
      </c>
      <c r="O94" s="125" t="s">
        <v>480</v>
      </c>
      <c r="P94" s="152">
        <v>45251</v>
      </c>
      <c r="Q94" s="152">
        <v>45982</v>
      </c>
      <c r="R94" s="124">
        <v>1</v>
      </c>
      <c r="S94" s="124">
        <f t="shared" si="19"/>
        <v>12</v>
      </c>
      <c r="T94" s="126">
        <f t="shared" si="20"/>
        <v>46347</v>
      </c>
      <c r="U94" s="124">
        <f t="shared" ca="1" si="22"/>
        <v>199</v>
      </c>
      <c r="V94" s="125" t="s">
        <v>293</v>
      </c>
      <c r="W94" s="125" t="s">
        <v>253</v>
      </c>
      <c r="X94" s="125" t="s">
        <v>413</v>
      </c>
      <c r="Y94" s="125" t="s">
        <v>551</v>
      </c>
      <c r="Z94" s="130" t="s">
        <v>552</v>
      </c>
      <c r="AA94" s="126">
        <v>41485</v>
      </c>
      <c r="AB94" s="124">
        <v>11949143238</v>
      </c>
      <c r="AC94" s="126">
        <v>33908</v>
      </c>
      <c r="AD94" s="137"/>
      <c r="AE94" s="156" t="s">
        <v>580</v>
      </c>
      <c r="AF94" s="134"/>
      <c r="AG94" s="124" t="str">
        <f t="shared" ca="1" si="21"/>
        <v>منتهي</v>
      </c>
      <c r="AH94" s="131"/>
    </row>
    <row r="95" spans="1:16282" s="68" customFormat="1" ht="20.149999999999999" customHeight="1">
      <c r="A95" s="129">
        <v>93</v>
      </c>
      <c r="B95" s="125" t="s">
        <v>6</v>
      </c>
      <c r="C95" s="125" t="s">
        <v>6</v>
      </c>
      <c r="D95" s="125" t="s">
        <v>303</v>
      </c>
      <c r="E95" s="125" t="s">
        <v>195</v>
      </c>
      <c r="F95" s="125" t="s">
        <v>393</v>
      </c>
      <c r="G95" s="125"/>
      <c r="H95" s="125"/>
      <c r="I95" s="125" t="s">
        <v>444</v>
      </c>
      <c r="J95" s="124" t="s">
        <v>367</v>
      </c>
      <c r="K95" s="125" t="s">
        <v>6</v>
      </c>
      <c r="L95" s="130" t="s">
        <v>345</v>
      </c>
      <c r="M95" s="130" t="s">
        <v>241</v>
      </c>
      <c r="N95" s="130" t="s">
        <v>208</v>
      </c>
      <c r="O95" s="125" t="s">
        <v>480</v>
      </c>
      <c r="P95" s="152">
        <v>45323</v>
      </c>
      <c r="Q95" s="152">
        <v>45689</v>
      </c>
      <c r="R95" s="124">
        <v>1</v>
      </c>
      <c r="S95" s="124">
        <f t="shared" si="19"/>
        <v>12</v>
      </c>
      <c r="T95" s="126">
        <f t="shared" si="20"/>
        <v>46054</v>
      </c>
      <c r="U95" s="124">
        <f t="shared" ca="1" si="22"/>
        <v>-94</v>
      </c>
      <c r="V95" s="125" t="s">
        <v>539</v>
      </c>
      <c r="W95" s="125" t="s">
        <v>252</v>
      </c>
      <c r="X95" s="125" t="s">
        <v>413</v>
      </c>
      <c r="Y95" s="125" t="s">
        <v>547</v>
      </c>
      <c r="Z95" s="130" t="s">
        <v>569</v>
      </c>
      <c r="AA95" s="126">
        <v>42591</v>
      </c>
      <c r="AB95" s="124"/>
      <c r="AC95" s="126"/>
      <c r="AD95" s="124"/>
      <c r="AE95" s="156" t="s">
        <v>580</v>
      </c>
      <c r="AF95" s="134"/>
      <c r="AG95" s="124" t="str">
        <f t="shared" ca="1" si="21"/>
        <v>منتهي</v>
      </c>
      <c r="AH95" s="131" t="s">
        <v>577</v>
      </c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  <c r="XAN95" s="67"/>
      <c r="XAO95" s="67"/>
      <c r="XAP95" s="67"/>
      <c r="XAQ95" s="67"/>
      <c r="XAR95" s="67"/>
      <c r="XAS95" s="67"/>
      <c r="XAT95" s="67"/>
      <c r="XAU95" s="67"/>
      <c r="XAV95" s="67"/>
      <c r="XAW95" s="67"/>
      <c r="XAX95" s="67"/>
      <c r="XAY95" s="67"/>
      <c r="XAZ95" s="67"/>
      <c r="XBA95" s="67"/>
      <c r="XBB95" s="67"/>
      <c r="XBC95" s="67"/>
      <c r="XBD95" s="67"/>
      <c r="XBE95" s="67"/>
      <c r="XBF95" s="67"/>
    </row>
    <row r="96" spans="1:16282" s="68" customFormat="1" ht="20.149999999999999" customHeight="1">
      <c r="A96" s="129">
        <v>94</v>
      </c>
      <c r="B96" s="125" t="s">
        <v>6</v>
      </c>
      <c r="C96" s="125" t="s">
        <v>6</v>
      </c>
      <c r="D96" s="125" t="s">
        <v>301</v>
      </c>
      <c r="E96" s="125" t="s">
        <v>195</v>
      </c>
      <c r="F96" s="125" t="s">
        <v>393</v>
      </c>
      <c r="G96" s="125"/>
      <c r="H96" s="125"/>
      <c r="I96" s="125" t="s">
        <v>445</v>
      </c>
      <c r="J96" s="124" t="s">
        <v>367</v>
      </c>
      <c r="K96" s="125" t="s">
        <v>6</v>
      </c>
      <c r="L96" s="130" t="s">
        <v>343</v>
      </c>
      <c r="M96" s="130" t="s">
        <v>241</v>
      </c>
      <c r="N96" s="130" t="s">
        <v>208</v>
      </c>
      <c r="O96" s="125" t="s">
        <v>480</v>
      </c>
      <c r="P96" s="152">
        <v>45323</v>
      </c>
      <c r="Q96" s="152">
        <v>45689</v>
      </c>
      <c r="R96" s="124">
        <v>1</v>
      </c>
      <c r="S96" s="124">
        <f t="shared" si="19"/>
        <v>12</v>
      </c>
      <c r="T96" s="126">
        <f t="shared" si="20"/>
        <v>46054</v>
      </c>
      <c r="U96" s="124">
        <f t="shared" ca="1" si="22"/>
        <v>-94</v>
      </c>
      <c r="V96" s="125" t="s">
        <v>293</v>
      </c>
      <c r="W96" s="125" t="s">
        <v>253</v>
      </c>
      <c r="X96" s="125" t="s">
        <v>412</v>
      </c>
      <c r="Y96" s="125" t="s">
        <v>547</v>
      </c>
      <c r="Z96" s="130" t="s">
        <v>550</v>
      </c>
      <c r="AA96" s="126">
        <v>41890</v>
      </c>
      <c r="AB96" s="124">
        <v>11537735781</v>
      </c>
      <c r="AC96" s="126">
        <v>33239</v>
      </c>
      <c r="AD96" s="137"/>
      <c r="AE96" s="156" t="s">
        <v>580</v>
      </c>
      <c r="AF96" s="134"/>
      <c r="AG96" s="124" t="str">
        <f t="shared" ca="1" si="21"/>
        <v>منتهي</v>
      </c>
      <c r="AH96" s="131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  <c r="XAN96" s="67"/>
      <c r="XAO96" s="67"/>
      <c r="XAP96" s="67"/>
      <c r="XAQ96" s="67"/>
      <c r="XAR96" s="67"/>
      <c r="XAS96" s="67"/>
      <c r="XAT96" s="67"/>
      <c r="XAU96" s="67"/>
      <c r="XAV96" s="67"/>
      <c r="XAW96" s="67"/>
      <c r="XAX96" s="67"/>
      <c r="XAY96" s="67"/>
      <c r="XAZ96" s="67"/>
      <c r="XBA96" s="67"/>
      <c r="XBB96" s="67"/>
      <c r="XBC96" s="67"/>
      <c r="XBD96" s="67"/>
      <c r="XBE96" s="67"/>
      <c r="XBF96" s="67"/>
    </row>
    <row r="97" spans="1:16282" s="68" customFormat="1" ht="20.149999999999999" customHeight="1">
      <c r="A97" s="129">
        <v>95</v>
      </c>
      <c r="B97" s="125" t="s">
        <v>6</v>
      </c>
      <c r="C97" s="125" t="s">
        <v>6</v>
      </c>
      <c r="D97" s="125" t="s">
        <v>302</v>
      </c>
      <c r="E97" s="125" t="s">
        <v>195</v>
      </c>
      <c r="F97" s="125" t="s">
        <v>393</v>
      </c>
      <c r="G97" s="125"/>
      <c r="H97" s="125"/>
      <c r="I97" s="125" t="s">
        <v>445</v>
      </c>
      <c r="J97" s="124" t="s">
        <v>367</v>
      </c>
      <c r="K97" s="125" t="s">
        <v>6</v>
      </c>
      <c r="L97" s="130" t="s">
        <v>342</v>
      </c>
      <c r="M97" s="130" t="s">
        <v>241</v>
      </c>
      <c r="N97" s="130" t="s">
        <v>208</v>
      </c>
      <c r="O97" s="125" t="s">
        <v>480</v>
      </c>
      <c r="P97" s="152">
        <v>45323</v>
      </c>
      <c r="Q97" s="152">
        <v>45689</v>
      </c>
      <c r="R97" s="124">
        <v>1</v>
      </c>
      <c r="S97" s="124">
        <f t="shared" si="19"/>
        <v>12</v>
      </c>
      <c r="T97" s="126">
        <f t="shared" si="20"/>
        <v>46054</v>
      </c>
      <c r="U97" s="124">
        <f t="shared" ca="1" si="22"/>
        <v>-94</v>
      </c>
      <c r="V97" s="125" t="s">
        <v>293</v>
      </c>
      <c r="W97" s="125" t="s">
        <v>253</v>
      </c>
      <c r="X97" s="125" t="s">
        <v>412</v>
      </c>
      <c r="Y97" s="125" t="s">
        <v>547</v>
      </c>
      <c r="Z97" s="130" t="s">
        <v>563</v>
      </c>
      <c r="AA97" s="126">
        <v>39744</v>
      </c>
      <c r="AB97" s="124">
        <v>11991406729</v>
      </c>
      <c r="AC97" s="126">
        <v>31048</v>
      </c>
      <c r="AD97" s="137"/>
      <c r="AE97" s="156" t="s">
        <v>580</v>
      </c>
      <c r="AF97" s="134"/>
      <c r="AG97" s="124" t="str">
        <f t="shared" ca="1" si="21"/>
        <v>منتهي</v>
      </c>
      <c r="AH97" s="131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  <c r="XAN97" s="67"/>
      <c r="XAO97" s="67"/>
      <c r="XAP97" s="67"/>
      <c r="XAQ97" s="67"/>
      <c r="XAR97" s="67"/>
      <c r="XAS97" s="67"/>
      <c r="XAT97" s="67"/>
      <c r="XAU97" s="67"/>
      <c r="XAV97" s="67"/>
      <c r="XAW97" s="67"/>
      <c r="XAX97" s="67"/>
      <c r="XAY97" s="67"/>
      <c r="XAZ97" s="67"/>
      <c r="XBA97" s="67"/>
      <c r="XBB97" s="67"/>
      <c r="XBC97" s="67"/>
      <c r="XBD97" s="67"/>
      <c r="XBE97" s="67"/>
      <c r="XBF97" s="67"/>
    </row>
    <row r="98" spans="1:16282" s="68" customFormat="1" ht="20.149999999999999" customHeight="1">
      <c r="A98" s="129">
        <v>96</v>
      </c>
      <c r="B98" s="125" t="s">
        <v>6</v>
      </c>
      <c r="C98" s="125" t="s">
        <v>6</v>
      </c>
      <c r="D98" s="125" t="s">
        <v>310</v>
      </c>
      <c r="E98" s="125" t="s">
        <v>195</v>
      </c>
      <c r="F98" s="125" t="s">
        <v>393</v>
      </c>
      <c r="G98" s="125"/>
      <c r="H98" s="125"/>
      <c r="I98" s="125" t="s">
        <v>450</v>
      </c>
      <c r="J98" s="124" t="s">
        <v>367</v>
      </c>
      <c r="K98" s="125" t="s">
        <v>6</v>
      </c>
      <c r="L98" s="130" t="s">
        <v>341</v>
      </c>
      <c r="M98" s="130" t="s">
        <v>241</v>
      </c>
      <c r="N98" s="130" t="s">
        <v>208</v>
      </c>
      <c r="O98" s="125" t="s">
        <v>480</v>
      </c>
      <c r="P98" s="152">
        <v>45342</v>
      </c>
      <c r="Q98" s="152">
        <v>45708</v>
      </c>
      <c r="R98" s="124">
        <v>1</v>
      </c>
      <c r="S98" s="124">
        <f t="shared" si="19"/>
        <v>12</v>
      </c>
      <c r="T98" s="126">
        <f t="shared" si="20"/>
        <v>46073</v>
      </c>
      <c r="U98" s="124">
        <f t="shared" ca="1" si="22"/>
        <v>-75</v>
      </c>
      <c r="V98" s="125" t="s">
        <v>293</v>
      </c>
      <c r="W98" s="125" t="s">
        <v>253</v>
      </c>
      <c r="X98" s="125" t="s">
        <v>413</v>
      </c>
      <c r="Y98" s="125"/>
      <c r="Z98" s="130"/>
      <c r="AA98" s="126"/>
      <c r="AB98" s="124">
        <v>11909591576</v>
      </c>
      <c r="AC98" s="126"/>
      <c r="AE98" s="156" t="s">
        <v>580</v>
      </c>
      <c r="AF98" s="134"/>
      <c r="AG98" s="124" t="str">
        <f t="shared" ca="1" si="21"/>
        <v>منتهي</v>
      </c>
      <c r="AH98" s="131"/>
    </row>
    <row r="99" spans="1:16282" s="68" customFormat="1" ht="20.149999999999999" customHeight="1">
      <c r="A99" s="129">
        <v>97</v>
      </c>
      <c r="B99" s="125" t="s">
        <v>6</v>
      </c>
      <c r="C99" s="125" t="s">
        <v>6</v>
      </c>
      <c r="D99" s="125" t="s">
        <v>313</v>
      </c>
      <c r="E99" s="125" t="s">
        <v>194</v>
      </c>
      <c r="F99" s="125"/>
      <c r="G99" s="125"/>
      <c r="H99" s="125"/>
      <c r="I99" s="125" t="s">
        <v>449</v>
      </c>
      <c r="J99" s="124" t="s">
        <v>367</v>
      </c>
      <c r="K99" s="125" t="s">
        <v>6</v>
      </c>
      <c r="L99" s="130"/>
      <c r="M99" s="130" t="s">
        <v>241</v>
      </c>
      <c r="N99" s="130" t="s">
        <v>208</v>
      </c>
      <c r="O99" s="125" t="s">
        <v>480</v>
      </c>
      <c r="P99" s="152">
        <v>45369</v>
      </c>
      <c r="Q99" s="152">
        <v>45734</v>
      </c>
      <c r="R99" s="124">
        <v>1</v>
      </c>
      <c r="S99" s="124">
        <f t="shared" si="19"/>
        <v>12</v>
      </c>
      <c r="T99" s="126">
        <f t="shared" si="20"/>
        <v>46099</v>
      </c>
      <c r="U99" s="124">
        <f t="shared" ca="1" si="22"/>
        <v>-49</v>
      </c>
      <c r="V99" s="125" t="s">
        <v>293</v>
      </c>
      <c r="W99" s="125" t="s">
        <v>253</v>
      </c>
      <c r="X99" s="125" t="s">
        <v>412</v>
      </c>
      <c r="Y99" s="125" t="s">
        <v>548</v>
      </c>
      <c r="Z99" s="130" t="s">
        <v>549</v>
      </c>
      <c r="AA99" s="126">
        <v>34695</v>
      </c>
      <c r="AB99" s="124">
        <v>10100002799</v>
      </c>
      <c r="AC99" s="126">
        <v>25900</v>
      </c>
      <c r="AD99" s="137"/>
      <c r="AE99" s="156" t="s">
        <v>580</v>
      </c>
      <c r="AF99" s="134"/>
      <c r="AG99" s="124" t="str">
        <f t="shared" ca="1" si="21"/>
        <v>منتهي</v>
      </c>
      <c r="AH99" s="131"/>
    </row>
    <row r="100" spans="1:16282" s="68" customFormat="1" ht="20.149999999999999" hidden="1" customHeight="1">
      <c r="A100" s="129">
        <v>98</v>
      </c>
      <c r="B100" s="125" t="s">
        <v>6</v>
      </c>
      <c r="C100" s="125" t="s">
        <v>6</v>
      </c>
      <c r="D100" s="125" t="s">
        <v>409</v>
      </c>
      <c r="E100" s="125" t="s">
        <v>195</v>
      </c>
      <c r="F100" s="125" t="s">
        <v>380</v>
      </c>
      <c r="G100" s="125"/>
      <c r="H100" s="125"/>
      <c r="I100" s="125" t="s">
        <v>435</v>
      </c>
      <c r="J100" s="124" t="s">
        <v>367</v>
      </c>
      <c r="K100" s="125" t="s">
        <v>6</v>
      </c>
      <c r="L100" s="130"/>
      <c r="M100" s="130" t="s">
        <v>241</v>
      </c>
      <c r="N100" s="130" t="s">
        <v>208</v>
      </c>
      <c r="O100" s="125" t="s">
        <v>480</v>
      </c>
      <c r="P100" s="152">
        <v>45413</v>
      </c>
      <c r="Q100" s="152">
        <v>45778</v>
      </c>
      <c r="R100" s="124">
        <v>1</v>
      </c>
      <c r="S100" s="124">
        <f t="shared" ref="S100:S130" si="23">R100*12</f>
        <v>12</v>
      </c>
      <c r="T100" s="126">
        <f t="shared" ref="T100:T121" si="24">EDATE(Q100,S100)</f>
        <v>46143</v>
      </c>
      <c r="U100" s="124">
        <f t="shared" ca="1" si="22"/>
        <v>-5</v>
      </c>
      <c r="V100" s="125" t="s">
        <v>293</v>
      </c>
      <c r="W100" s="125" t="s">
        <v>253</v>
      </c>
      <c r="X100" s="125" t="s">
        <v>413</v>
      </c>
      <c r="Y100" s="125" t="s">
        <v>590</v>
      </c>
      <c r="Z100" s="130" t="s">
        <v>591</v>
      </c>
      <c r="AA100" s="126">
        <v>40812</v>
      </c>
      <c r="AB100" s="124">
        <v>19082673503</v>
      </c>
      <c r="AC100" s="126">
        <v>27395</v>
      </c>
      <c r="AD100" s="124"/>
      <c r="AE100" s="125" t="s">
        <v>581</v>
      </c>
      <c r="AF100" s="134"/>
      <c r="AG100" s="124" t="str">
        <f t="shared" ca="1" si="21"/>
        <v>مستديم</v>
      </c>
      <c r="AH100" s="131" t="s">
        <v>592</v>
      </c>
    </row>
    <row r="101" spans="1:16282" s="68" customFormat="1" ht="20.149999999999999" customHeight="1">
      <c r="A101" s="129">
        <v>99</v>
      </c>
      <c r="B101" s="125" t="s">
        <v>6</v>
      </c>
      <c r="C101" s="125" t="s">
        <v>6</v>
      </c>
      <c r="D101" s="125" t="s">
        <v>333</v>
      </c>
      <c r="E101" s="125" t="s">
        <v>195</v>
      </c>
      <c r="F101" s="125"/>
      <c r="G101" s="125"/>
      <c r="H101" s="125"/>
      <c r="I101" s="125" t="s">
        <v>448</v>
      </c>
      <c r="J101" s="124" t="s">
        <v>367</v>
      </c>
      <c r="K101" s="125" t="s">
        <v>6</v>
      </c>
      <c r="L101" s="130"/>
      <c r="M101" s="130" t="s">
        <v>241</v>
      </c>
      <c r="N101" s="130" t="s">
        <v>208</v>
      </c>
      <c r="O101" s="125" t="s">
        <v>480</v>
      </c>
      <c r="P101" s="152">
        <v>45579</v>
      </c>
      <c r="Q101" s="152">
        <v>45944</v>
      </c>
      <c r="R101" s="124">
        <v>1</v>
      </c>
      <c r="S101" s="124">
        <f t="shared" si="23"/>
        <v>12</v>
      </c>
      <c r="T101" s="126">
        <f t="shared" si="24"/>
        <v>46309</v>
      </c>
      <c r="U101" s="124">
        <f t="shared" ca="1" si="22"/>
        <v>161</v>
      </c>
      <c r="V101" s="125" t="s">
        <v>293</v>
      </c>
      <c r="W101" s="125" t="s">
        <v>253</v>
      </c>
      <c r="X101" s="125" t="s">
        <v>412</v>
      </c>
      <c r="Y101" s="125"/>
      <c r="Z101" s="130"/>
      <c r="AA101" s="126"/>
      <c r="AB101" s="124">
        <v>11985300744</v>
      </c>
      <c r="AC101" s="126">
        <v>33845</v>
      </c>
      <c r="AD101" s="124"/>
      <c r="AE101" s="156" t="s">
        <v>580</v>
      </c>
      <c r="AF101" s="134"/>
      <c r="AG101" s="124" t="str">
        <f t="shared" ca="1" si="21"/>
        <v>مستديم</v>
      </c>
      <c r="AH101" s="131" t="s">
        <v>582</v>
      </c>
    </row>
    <row r="102" spans="1:16282" s="68" customFormat="1" ht="20.149999999999999" customHeight="1">
      <c r="A102" s="129">
        <v>100</v>
      </c>
      <c r="B102" s="125" t="s">
        <v>6</v>
      </c>
      <c r="C102" s="125" t="s">
        <v>6</v>
      </c>
      <c r="D102" s="125" t="s">
        <v>371</v>
      </c>
      <c r="E102" s="125" t="s">
        <v>195</v>
      </c>
      <c r="F102" s="125" t="s">
        <v>393</v>
      </c>
      <c r="G102" s="125"/>
      <c r="H102" s="125"/>
      <c r="I102" s="125" t="s">
        <v>448</v>
      </c>
      <c r="J102" s="124" t="s">
        <v>367</v>
      </c>
      <c r="K102" s="125" t="s">
        <v>6</v>
      </c>
      <c r="L102" s="130" t="s">
        <v>344</v>
      </c>
      <c r="M102" s="130" t="s">
        <v>241</v>
      </c>
      <c r="N102" s="130" t="s">
        <v>208</v>
      </c>
      <c r="O102" s="125" t="s">
        <v>480</v>
      </c>
      <c r="P102" s="152">
        <v>45582</v>
      </c>
      <c r="Q102" s="152">
        <v>45947</v>
      </c>
      <c r="R102" s="124">
        <v>1</v>
      </c>
      <c r="S102" s="124">
        <f t="shared" si="23"/>
        <v>12</v>
      </c>
      <c r="T102" s="126">
        <f t="shared" si="24"/>
        <v>46312</v>
      </c>
      <c r="U102" s="124">
        <f t="shared" ca="1" si="22"/>
        <v>164</v>
      </c>
      <c r="V102" s="125" t="s">
        <v>539</v>
      </c>
      <c r="W102" s="125" t="s">
        <v>252</v>
      </c>
      <c r="X102" s="125" t="s">
        <v>412</v>
      </c>
      <c r="Y102" s="125" t="s">
        <v>547</v>
      </c>
      <c r="Z102" s="130" t="s">
        <v>564</v>
      </c>
      <c r="AA102" s="126"/>
      <c r="AB102" s="124">
        <v>11990177337</v>
      </c>
      <c r="AC102" s="126"/>
      <c r="AD102" s="124"/>
      <c r="AE102" s="156" t="s">
        <v>580</v>
      </c>
      <c r="AF102" s="134"/>
      <c r="AG102" s="124" t="str">
        <f t="shared" ca="1" si="21"/>
        <v>مستديم</v>
      </c>
      <c r="AH102" s="131"/>
    </row>
    <row r="103" spans="1:16282" s="68" customFormat="1" ht="20.149999999999999" customHeight="1">
      <c r="A103" s="129">
        <v>101</v>
      </c>
      <c r="B103" s="125" t="s">
        <v>6</v>
      </c>
      <c r="C103" s="125" t="s">
        <v>6</v>
      </c>
      <c r="D103" s="125" t="s">
        <v>494</v>
      </c>
      <c r="E103" s="125" t="s">
        <v>195</v>
      </c>
      <c r="F103" s="125" t="s">
        <v>393</v>
      </c>
      <c r="G103" s="125"/>
      <c r="H103" s="125"/>
      <c r="I103" s="125" t="s">
        <v>435</v>
      </c>
      <c r="J103" s="124" t="s">
        <v>367</v>
      </c>
      <c r="K103" s="125" t="s">
        <v>6</v>
      </c>
      <c r="L103" s="130" t="s">
        <v>344</v>
      </c>
      <c r="M103" s="130" t="s">
        <v>241</v>
      </c>
      <c r="N103" s="130" t="s">
        <v>208</v>
      </c>
      <c r="O103" s="125" t="s">
        <v>480</v>
      </c>
      <c r="P103" s="152">
        <v>45588</v>
      </c>
      <c r="Q103" s="152">
        <v>45953</v>
      </c>
      <c r="R103" s="124">
        <v>1</v>
      </c>
      <c r="S103" s="124">
        <f t="shared" si="23"/>
        <v>12</v>
      </c>
      <c r="T103" s="126">
        <f t="shared" si="24"/>
        <v>46318</v>
      </c>
      <c r="U103" s="124">
        <f t="shared" ca="1" si="22"/>
        <v>170</v>
      </c>
      <c r="V103" s="125" t="s">
        <v>539</v>
      </c>
      <c r="W103" s="125" t="s">
        <v>252</v>
      </c>
      <c r="X103" s="125" t="s">
        <v>412</v>
      </c>
      <c r="Y103" s="125"/>
      <c r="Z103" s="130"/>
      <c r="AA103" s="126"/>
      <c r="AB103" s="124">
        <v>11994077986</v>
      </c>
      <c r="AC103" s="126"/>
      <c r="AD103" s="124"/>
      <c r="AE103" s="156" t="s">
        <v>580</v>
      </c>
      <c r="AF103" s="134"/>
      <c r="AG103" s="124" t="str">
        <f t="shared" ca="1" si="21"/>
        <v>مستديم</v>
      </c>
      <c r="AH103" s="131"/>
    </row>
    <row r="104" spans="1:16282" s="68" customFormat="1" ht="20.149999999999999" hidden="1" customHeight="1">
      <c r="A104" s="129">
        <v>102</v>
      </c>
      <c r="B104" s="125" t="s">
        <v>6</v>
      </c>
      <c r="C104" s="125" t="s">
        <v>6</v>
      </c>
      <c r="D104" s="125" t="s">
        <v>396</v>
      </c>
      <c r="E104" s="125" t="s">
        <v>195</v>
      </c>
      <c r="F104" s="125" t="s">
        <v>380</v>
      </c>
      <c r="G104" s="125"/>
      <c r="H104" s="125"/>
      <c r="I104" s="125" t="s">
        <v>435</v>
      </c>
      <c r="J104" s="124" t="s">
        <v>367</v>
      </c>
      <c r="K104" s="125" t="s">
        <v>6</v>
      </c>
      <c r="L104" s="130"/>
      <c r="M104" s="130" t="s">
        <v>241</v>
      </c>
      <c r="N104" s="130" t="s">
        <v>208</v>
      </c>
      <c r="O104" s="125" t="s">
        <v>480</v>
      </c>
      <c r="P104" s="152">
        <v>45597</v>
      </c>
      <c r="Q104" s="152">
        <v>45962</v>
      </c>
      <c r="R104" s="124">
        <v>1</v>
      </c>
      <c r="S104" s="124">
        <f t="shared" si="23"/>
        <v>12</v>
      </c>
      <c r="T104" s="126">
        <f t="shared" si="24"/>
        <v>46327</v>
      </c>
      <c r="U104" s="124">
        <f t="shared" ca="1" si="22"/>
        <v>179</v>
      </c>
      <c r="V104" s="125" t="s">
        <v>539</v>
      </c>
      <c r="W104" s="125" t="s">
        <v>252</v>
      </c>
      <c r="X104" s="125" t="s">
        <v>412</v>
      </c>
      <c r="Y104" s="125" t="s">
        <v>547</v>
      </c>
      <c r="Z104" s="130" t="s">
        <v>564</v>
      </c>
      <c r="AA104" s="126">
        <v>37926</v>
      </c>
      <c r="AB104" s="124">
        <v>17827361050</v>
      </c>
      <c r="AC104" s="126"/>
      <c r="AD104" s="124"/>
      <c r="AE104" s="125" t="s">
        <v>581</v>
      </c>
      <c r="AF104" s="134"/>
      <c r="AG104" s="124" t="str">
        <f t="shared" ca="1" si="21"/>
        <v>مستديم</v>
      </c>
      <c r="AH104" s="131"/>
    </row>
    <row r="105" spans="1:16282" s="68" customFormat="1" ht="20.149999999999999" hidden="1" customHeight="1">
      <c r="A105" s="129">
        <v>103</v>
      </c>
      <c r="B105" s="125" t="s">
        <v>6</v>
      </c>
      <c r="C105" s="125" t="s">
        <v>6</v>
      </c>
      <c r="D105" s="125" t="s">
        <v>395</v>
      </c>
      <c r="E105" s="125" t="s">
        <v>195</v>
      </c>
      <c r="F105" s="125" t="s">
        <v>393</v>
      </c>
      <c r="G105" s="125"/>
      <c r="H105" s="125"/>
      <c r="I105" s="125" t="s">
        <v>435</v>
      </c>
      <c r="J105" s="124" t="s">
        <v>367</v>
      </c>
      <c r="K105" s="125" t="s">
        <v>6</v>
      </c>
      <c r="L105" s="130"/>
      <c r="M105" s="130" t="s">
        <v>241</v>
      </c>
      <c r="N105" s="130" t="s">
        <v>208</v>
      </c>
      <c r="O105" s="125" t="s">
        <v>480</v>
      </c>
      <c r="P105" s="152">
        <v>45597</v>
      </c>
      <c r="Q105" s="152">
        <v>45962</v>
      </c>
      <c r="R105" s="124">
        <v>1</v>
      </c>
      <c r="S105" s="124">
        <f t="shared" si="23"/>
        <v>12</v>
      </c>
      <c r="T105" s="126">
        <f t="shared" si="24"/>
        <v>46327</v>
      </c>
      <c r="U105" s="124">
        <f t="shared" ca="1" si="22"/>
        <v>179</v>
      </c>
      <c r="V105" s="125" t="s">
        <v>293</v>
      </c>
      <c r="W105" s="125" t="s">
        <v>253</v>
      </c>
      <c r="X105" s="125" t="s">
        <v>412</v>
      </c>
      <c r="Y105" s="125" t="s">
        <v>551</v>
      </c>
      <c r="Z105" s="130" t="s">
        <v>553</v>
      </c>
      <c r="AA105" s="126">
        <v>40983</v>
      </c>
      <c r="AB105" s="124">
        <v>11293045678</v>
      </c>
      <c r="AC105" s="126">
        <v>33322</v>
      </c>
      <c r="AD105" s="124"/>
      <c r="AE105" s="125" t="s">
        <v>594</v>
      </c>
      <c r="AF105" s="134"/>
      <c r="AG105" s="124" t="str">
        <f t="shared" ca="1" si="21"/>
        <v>منتهي</v>
      </c>
      <c r="AH105" s="131"/>
    </row>
    <row r="106" spans="1:16282" s="68" customFormat="1" ht="20.149999999999999" hidden="1" customHeight="1">
      <c r="A106" s="129">
        <v>104</v>
      </c>
      <c r="B106" s="125" t="s">
        <v>6</v>
      </c>
      <c r="C106" s="125" t="s">
        <v>6</v>
      </c>
      <c r="D106" s="125" t="s">
        <v>423</v>
      </c>
      <c r="E106" s="125" t="s">
        <v>195</v>
      </c>
      <c r="F106" s="125" t="s">
        <v>393</v>
      </c>
      <c r="G106" s="125"/>
      <c r="H106" s="125"/>
      <c r="I106" s="125" t="s">
        <v>447</v>
      </c>
      <c r="J106" s="124" t="s">
        <v>367</v>
      </c>
      <c r="K106" s="125" t="s">
        <v>6</v>
      </c>
      <c r="L106" s="130"/>
      <c r="M106" s="130" t="s">
        <v>237</v>
      </c>
      <c r="N106" s="130" t="s">
        <v>208</v>
      </c>
      <c r="O106" s="125" t="s">
        <v>480</v>
      </c>
      <c r="P106" s="152">
        <v>45697</v>
      </c>
      <c r="Q106" s="152">
        <v>45697</v>
      </c>
      <c r="R106" s="124">
        <v>1</v>
      </c>
      <c r="S106" s="124">
        <f t="shared" si="23"/>
        <v>12</v>
      </c>
      <c r="T106" s="126">
        <f t="shared" si="24"/>
        <v>46062</v>
      </c>
      <c r="U106" s="124">
        <f t="shared" ca="1" si="22"/>
        <v>-86</v>
      </c>
      <c r="V106" s="125" t="s">
        <v>293</v>
      </c>
      <c r="W106" s="125" t="s">
        <v>253</v>
      </c>
      <c r="X106" s="125" t="s">
        <v>412</v>
      </c>
      <c r="Y106" s="125" t="s">
        <v>590</v>
      </c>
      <c r="Z106" s="130" t="s">
        <v>564</v>
      </c>
      <c r="AA106" s="126">
        <v>40770</v>
      </c>
      <c r="AB106" s="124">
        <v>17842711864</v>
      </c>
      <c r="AC106" s="126">
        <v>32121</v>
      </c>
      <c r="AD106" s="124"/>
      <c r="AE106" s="125" t="s">
        <v>581</v>
      </c>
      <c r="AF106" s="134"/>
      <c r="AG106" s="124" t="str">
        <f t="shared" ca="1" si="21"/>
        <v>منتهي</v>
      </c>
      <c r="AH106" s="131" t="s">
        <v>573</v>
      </c>
    </row>
    <row r="107" spans="1:16282" s="68" customFormat="1" ht="20.149999999999999" hidden="1" customHeight="1">
      <c r="A107" s="129">
        <v>105</v>
      </c>
      <c r="B107" s="125" t="s">
        <v>6</v>
      </c>
      <c r="C107" s="125" t="s">
        <v>6</v>
      </c>
      <c r="D107" s="125" t="s">
        <v>428</v>
      </c>
      <c r="E107" s="125" t="s">
        <v>195</v>
      </c>
      <c r="F107" s="125" t="s">
        <v>393</v>
      </c>
      <c r="G107" s="125"/>
      <c r="H107" s="125"/>
      <c r="I107" s="125" t="s">
        <v>456</v>
      </c>
      <c r="J107" s="124" t="s">
        <v>367</v>
      </c>
      <c r="K107" s="125" t="s">
        <v>6</v>
      </c>
      <c r="L107" s="130"/>
      <c r="M107" s="130" t="s">
        <v>429</v>
      </c>
      <c r="N107" s="130" t="s">
        <v>208</v>
      </c>
      <c r="O107" s="125" t="s">
        <v>480</v>
      </c>
      <c r="P107" s="152">
        <v>45742</v>
      </c>
      <c r="Q107" s="152">
        <v>45742</v>
      </c>
      <c r="R107" s="124">
        <v>1</v>
      </c>
      <c r="S107" s="124">
        <f t="shared" si="23"/>
        <v>12</v>
      </c>
      <c r="T107" s="126">
        <f t="shared" si="24"/>
        <v>46107</v>
      </c>
      <c r="U107" s="124">
        <f t="shared" ca="1" si="22"/>
        <v>-41</v>
      </c>
      <c r="V107" s="125" t="s">
        <v>293</v>
      </c>
      <c r="W107" s="125" t="s">
        <v>253</v>
      </c>
      <c r="X107" s="125" t="s">
        <v>429</v>
      </c>
      <c r="Y107" s="125" t="s">
        <v>548</v>
      </c>
      <c r="Z107" s="130" t="s">
        <v>569</v>
      </c>
      <c r="AA107" s="126">
        <v>39408</v>
      </c>
      <c r="AB107" s="124">
        <v>10100789128</v>
      </c>
      <c r="AC107" s="126">
        <v>30606</v>
      </c>
      <c r="AD107" s="137"/>
      <c r="AE107" s="125" t="s">
        <v>581</v>
      </c>
      <c r="AF107" s="134"/>
      <c r="AG107" s="124" t="str">
        <f t="shared" ca="1" si="21"/>
        <v>منتهي</v>
      </c>
      <c r="AH107" s="131" t="s">
        <v>573</v>
      </c>
    </row>
    <row r="108" spans="1:16282" s="68" customFormat="1" ht="20.149999999999999" hidden="1" customHeight="1">
      <c r="A108" s="129">
        <v>106</v>
      </c>
      <c r="B108" s="125" t="s">
        <v>6</v>
      </c>
      <c r="C108" s="125" t="s">
        <v>6</v>
      </c>
      <c r="D108" s="125" t="s">
        <v>430</v>
      </c>
      <c r="E108" s="125" t="s">
        <v>195</v>
      </c>
      <c r="F108" s="125" t="s">
        <v>555</v>
      </c>
      <c r="G108" s="125"/>
      <c r="H108" s="125"/>
      <c r="I108" s="125"/>
      <c r="J108" s="124" t="s">
        <v>367</v>
      </c>
      <c r="K108" s="125" t="s">
        <v>6</v>
      </c>
      <c r="L108" s="130"/>
      <c r="M108" s="130" t="s">
        <v>429</v>
      </c>
      <c r="N108" s="130" t="s">
        <v>208</v>
      </c>
      <c r="O108" s="125" t="s">
        <v>480</v>
      </c>
      <c r="P108" s="152">
        <v>45759</v>
      </c>
      <c r="Q108" s="152">
        <v>45759</v>
      </c>
      <c r="R108" s="124">
        <v>1</v>
      </c>
      <c r="S108" s="124">
        <f t="shared" si="23"/>
        <v>12</v>
      </c>
      <c r="T108" s="126">
        <f t="shared" si="24"/>
        <v>46124</v>
      </c>
      <c r="U108" s="124">
        <f t="shared" ref="U108:U131" ca="1" si="25">T108-TODAY()</f>
        <v>-24</v>
      </c>
      <c r="V108" s="125" t="s">
        <v>293</v>
      </c>
      <c r="W108" s="125" t="s">
        <v>253</v>
      </c>
      <c r="X108" s="125" t="s">
        <v>429</v>
      </c>
      <c r="Y108" s="125"/>
      <c r="Z108" s="130"/>
      <c r="AA108" s="126"/>
      <c r="AB108" s="124">
        <v>10100344138</v>
      </c>
      <c r="AC108" s="126"/>
      <c r="AD108" s="124"/>
      <c r="AE108" s="125" t="s">
        <v>581</v>
      </c>
      <c r="AF108" s="134"/>
      <c r="AG108" s="124" t="str">
        <f t="shared" ca="1" si="21"/>
        <v>ينتهي قريباً</v>
      </c>
      <c r="AH108" s="131"/>
    </row>
    <row r="109" spans="1:16282" s="68" customFormat="1" ht="20.149999999999999" hidden="1" customHeight="1">
      <c r="A109" s="129">
        <v>107</v>
      </c>
      <c r="B109" s="125" t="s">
        <v>6</v>
      </c>
      <c r="C109" s="125" t="s">
        <v>6</v>
      </c>
      <c r="D109" s="125" t="s">
        <v>471</v>
      </c>
      <c r="E109" s="125" t="s">
        <v>195</v>
      </c>
      <c r="F109" s="125" t="s">
        <v>393</v>
      </c>
      <c r="G109" s="125"/>
      <c r="H109" s="125"/>
      <c r="I109" s="125"/>
      <c r="J109" s="124" t="s">
        <v>367</v>
      </c>
      <c r="K109" s="125" t="s">
        <v>6</v>
      </c>
      <c r="L109" s="130"/>
      <c r="M109" s="130" t="s">
        <v>241</v>
      </c>
      <c r="N109" s="130" t="s">
        <v>208</v>
      </c>
      <c r="O109" s="125" t="s">
        <v>480</v>
      </c>
      <c r="P109" s="152">
        <v>45792</v>
      </c>
      <c r="Q109" s="152">
        <v>45792</v>
      </c>
      <c r="R109" s="124">
        <v>1</v>
      </c>
      <c r="S109" s="124">
        <f t="shared" si="23"/>
        <v>12</v>
      </c>
      <c r="T109" s="126">
        <f t="shared" si="24"/>
        <v>46157</v>
      </c>
      <c r="U109" s="124">
        <f t="shared" ca="1" si="25"/>
        <v>9</v>
      </c>
      <c r="V109" s="125" t="s">
        <v>539</v>
      </c>
      <c r="W109" s="125" t="s">
        <v>252</v>
      </c>
      <c r="X109" s="125" t="s">
        <v>413</v>
      </c>
      <c r="Y109" s="125" t="s">
        <v>547</v>
      </c>
      <c r="Z109" s="130" t="s">
        <v>566</v>
      </c>
      <c r="AA109" s="126">
        <v>45651</v>
      </c>
      <c r="AB109" s="124">
        <v>11940977762</v>
      </c>
      <c r="AC109" s="126">
        <v>36473</v>
      </c>
      <c r="AD109" s="137"/>
      <c r="AE109" s="125" t="s">
        <v>581</v>
      </c>
      <c r="AF109" s="134"/>
      <c r="AG109" s="124" t="str">
        <f t="shared" ca="1" si="21"/>
        <v>ينتهي قريباً</v>
      </c>
      <c r="AH109" s="131"/>
    </row>
    <row r="110" spans="1:16282" s="68" customFormat="1" ht="20.149999999999999" hidden="1" customHeight="1">
      <c r="A110" s="129">
        <v>108</v>
      </c>
      <c r="B110" s="125" t="s">
        <v>6</v>
      </c>
      <c r="C110" s="125" t="s">
        <v>6</v>
      </c>
      <c r="D110" s="125" t="s">
        <v>473</v>
      </c>
      <c r="E110" s="125" t="s">
        <v>195</v>
      </c>
      <c r="F110" s="125" t="s">
        <v>555</v>
      </c>
      <c r="G110" s="125"/>
      <c r="H110" s="125"/>
      <c r="I110" s="125"/>
      <c r="J110" s="124" t="s">
        <v>367</v>
      </c>
      <c r="K110" s="125" t="s">
        <v>6</v>
      </c>
      <c r="L110" s="130"/>
      <c r="M110" s="130" t="s">
        <v>429</v>
      </c>
      <c r="N110" s="130" t="s">
        <v>208</v>
      </c>
      <c r="O110" s="125" t="s">
        <v>480</v>
      </c>
      <c r="P110" s="152">
        <v>45795</v>
      </c>
      <c r="Q110" s="152">
        <v>45795</v>
      </c>
      <c r="R110" s="124">
        <v>1</v>
      </c>
      <c r="S110" s="124">
        <f t="shared" si="23"/>
        <v>12</v>
      </c>
      <c r="T110" s="126">
        <f t="shared" si="24"/>
        <v>46160</v>
      </c>
      <c r="U110" s="124">
        <f t="shared" ca="1" si="25"/>
        <v>12</v>
      </c>
      <c r="V110" s="125" t="s">
        <v>293</v>
      </c>
      <c r="W110" s="125" t="s">
        <v>253</v>
      </c>
      <c r="X110" s="125" t="s">
        <v>429</v>
      </c>
      <c r="Y110" s="125" t="s">
        <v>548</v>
      </c>
      <c r="Z110" s="130" t="s">
        <v>566</v>
      </c>
      <c r="AA110" s="126">
        <v>39030</v>
      </c>
      <c r="AB110" s="124">
        <v>11911450936</v>
      </c>
      <c r="AC110" s="126">
        <v>30872</v>
      </c>
      <c r="AD110" s="124"/>
      <c r="AE110" s="125" t="s">
        <v>581</v>
      </c>
      <c r="AF110" s="134"/>
      <c r="AG110" s="124" t="str">
        <f t="shared" ca="1" si="21"/>
        <v>ينتهي قريباً</v>
      </c>
      <c r="AH110" s="131"/>
    </row>
    <row r="111" spans="1:16282" s="68" customFormat="1" ht="20.149999999999999" hidden="1" customHeight="1">
      <c r="A111" s="129">
        <v>109</v>
      </c>
      <c r="B111" s="125" t="s">
        <v>6</v>
      </c>
      <c r="C111" s="125" t="s">
        <v>6</v>
      </c>
      <c r="D111" s="125" t="s">
        <v>418</v>
      </c>
      <c r="E111" s="125" t="s">
        <v>195</v>
      </c>
      <c r="F111" s="125" t="s">
        <v>477</v>
      </c>
      <c r="G111" s="125"/>
      <c r="H111" s="125"/>
      <c r="I111" s="125"/>
      <c r="J111" s="124" t="s">
        <v>367</v>
      </c>
      <c r="K111" s="125" t="s">
        <v>6</v>
      </c>
      <c r="L111" s="130"/>
      <c r="M111" s="130" t="s">
        <v>241</v>
      </c>
      <c r="N111" s="130" t="s">
        <v>208</v>
      </c>
      <c r="O111" s="125" t="s">
        <v>480</v>
      </c>
      <c r="P111" s="152">
        <v>45809</v>
      </c>
      <c r="Q111" s="152">
        <v>45809</v>
      </c>
      <c r="R111" s="124">
        <v>1</v>
      </c>
      <c r="S111" s="124">
        <f t="shared" si="23"/>
        <v>12</v>
      </c>
      <c r="T111" s="126">
        <f t="shared" si="24"/>
        <v>46174</v>
      </c>
      <c r="U111" s="124">
        <f t="shared" ca="1" si="25"/>
        <v>26</v>
      </c>
      <c r="V111" s="125" t="s">
        <v>293</v>
      </c>
      <c r="W111" s="125" t="s">
        <v>253</v>
      </c>
      <c r="X111" s="125" t="s">
        <v>412</v>
      </c>
      <c r="Y111" s="125" t="s">
        <v>547</v>
      </c>
      <c r="Z111" s="130" t="s">
        <v>593</v>
      </c>
      <c r="AA111" s="126">
        <v>44679</v>
      </c>
      <c r="AB111" s="124"/>
      <c r="AC111" s="126"/>
      <c r="AD111" s="124"/>
      <c r="AE111" s="125" t="s">
        <v>581</v>
      </c>
      <c r="AF111" s="134"/>
      <c r="AG111" s="124" t="str">
        <f t="shared" ca="1" si="21"/>
        <v>ينتهي قريباً</v>
      </c>
      <c r="AH111" s="131"/>
    </row>
    <row r="112" spans="1:16282" s="68" customFormat="1" ht="20.149999999999999" hidden="1" customHeight="1">
      <c r="A112" s="129">
        <v>110</v>
      </c>
      <c r="B112" s="125" t="s">
        <v>6</v>
      </c>
      <c r="C112" s="125" t="s">
        <v>6</v>
      </c>
      <c r="D112" s="125" t="s">
        <v>470</v>
      </c>
      <c r="E112" s="125" t="s">
        <v>195</v>
      </c>
      <c r="F112" s="125" t="s">
        <v>380</v>
      </c>
      <c r="G112" s="125"/>
      <c r="H112" s="125"/>
      <c r="I112" s="125"/>
      <c r="J112" s="124" t="s">
        <v>367</v>
      </c>
      <c r="K112" s="125" t="s">
        <v>479</v>
      </c>
      <c r="L112" s="130"/>
      <c r="M112" s="130" t="s">
        <v>241</v>
      </c>
      <c r="N112" s="130" t="s">
        <v>208</v>
      </c>
      <c r="O112" s="125" t="s">
        <v>480</v>
      </c>
      <c r="P112" s="152">
        <v>45811</v>
      </c>
      <c r="Q112" s="152">
        <v>45811</v>
      </c>
      <c r="R112" s="124">
        <v>1</v>
      </c>
      <c r="S112" s="124">
        <f t="shared" si="23"/>
        <v>12</v>
      </c>
      <c r="T112" s="126">
        <f t="shared" si="24"/>
        <v>46176</v>
      </c>
      <c r="U112" s="124">
        <f t="shared" ca="1" si="25"/>
        <v>28</v>
      </c>
      <c r="V112" s="125" t="s">
        <v>539</v>
      </c>
      <c r="W112" s="125" t="s">
        <v>252</v>
      </c>
      <c r="X112" s="125" t="s">
        <v>413</v>
      </c>
      <c r="Y112" s="125" t="s">
        <v>567</v>
      </c>
      <c r="Z112" s="130" t="s">
        <v>588</v>
      </c>
      <c r="AA112" s="126">
        <v>44927</v>
      </c>
      <c r="AB112" s="124">
        <v>22200830627</v>
      </c>
      <c r="AC112" s="126">
        <v>34648</v>
      </c>
      <c r="AD112" s="137"/>
      <c r="AE112" s="125" t="s">
        <v>581</v>
      </c>
      <c r="AF112" s="134"/>
      <c r="AG112" s="124" t="str">
        <f t="shared" ca="1" si="21"/>
        <v>ينتهي قريباً</v>
      </c>
      <c r="AH112" s="131"/>
    </row>
    <row r="113" spans="1:34" s="68" customFormat="1" ht="20.149999999999999" hidden="1" customHeight="1">
      <c r="A113" s="129">
        <v>111</v>
      </c>
      <c r="B113" s="125" t="s">
        <v>6</v>
      </c>
      <c r="C113" s="125" t="s">
        <v>6</v>
      </c>
      <c r="D113" s="125" t="s">
        <v>474</v>
      </c>
      <c r="E113" s="125" t="s">
        <v>195</v>
      </c>
      <c r="F113" s="125" t="s">
        <v>393</v>
      </c>
      <c r="G113" s="125"/>
      <c r="H113" s="125"/>
      <c r="I113" s="125"/>
      <c r="J113" s="124" t="s">
        <v>367</v>
      </c>
      <c r="K113" s="125" t="s">
        <v>6</v>
      </c>
      <c r="L113" s="130"/>
      <c r="M113" s="130" t="s">
        <v>241</v>
      </c>
      <c r="N113" s="130" t="s">
        <v>208</v>
      </c>
      <c r="O113" s="125" t="s">
        <v>480</v>
      </c>
      <c r="P113" s="152">
        <v>45812</v>
      </c>
      <c r="Q113" s="152">
        <v>45812</v>
      </c>
      <c r="R113" s="124">
        <v>1</v>
      </c>
      <c r="S113" s="124">
        <f t="shared" si="23"/>
        <v>12</v>
      </c>
      <c r="T113" s="126">
        <f t="shared" si="24"/>
        <v>46177</v>
      </c>
      <c r="U113" s="124">
        <f t="shared" ca="1" si="25"/>
        <v>29</v>
      </c>
      <c r="V113" s="125" t="s">
        <v>539</v>
      </c>
      <c r="W113" s="125" t="s">
        <v>252</v>
      </c>
      <c r="X113" s="125" t="s">
        <v>412</v>
      </c>
      <c r="Y113" s="125" t="s">
        <v>547</v>
      </c>
      <c r="Z113" s="130" t="s">
        <v>584</v>
      </c>
      <c r="AA113" s="126">
        <v>37743</v>
      </c>
      <c r="AB113" s="124">
        <v>12038861965</v>
      </c>
      <c r="AC113" s="126">
        <v>28118</v>
      </c>
      <c r="AD113" s="124"/>
      <c r="AE113" s="125" t="s">
        <v>581</v>
      </c>
      <c r="AF113" s="134"/>
      <c r="AG113" s="124" t="str">
        <f t="shared" ca="1" si="21"/>
        <v>ساري</v>
      </c>
      <c r="AH113" s="131"/>
    </row>
    <row r="114" spans="1:34" s="68" customFormat="1" ht="20.149999999999999" hidden="1" customHeight="1">
      <c r="A114" s="129">
        <v>112</v>
      </c>
      <c r="B114" s="125" t="s">
        <v>6</v>
      </c>
      <c r="C114" s="125" t="s">
        <v>6</v>
      </c>
      <c r="D114" s="125" t="s">
        <v>495</v>
      </c>
      <c r="E114" s="125" t="s">
        <v>195</v>
      </c>
      <c r="F114" s="125"/>
      <c r="G114" s="125"/>
      <c r="H114" s="125"/>
      <c r="I114" s="125"/>
      <c r="J114" s="124" t="s">
        <v>367</v>
      </c>
      <c r="K114" s="125" t="s">
        <v>6</v>
      </c>
      <c r="L114" s="130"/>
      <c r="M114" s="130" t="s">
        <v>241</v>
      </c>
      <c r="N114" s="130" t="s">
        <v>208</v>
      </c>
      <c r="O114" s="125" t="s">
        <v>480</v>
      </c>
      <c r="P114" s="152">
        <v>45893</v>
      </c>
      <c r="Q114" s="152">
        <v>45893</v>
      </c>
      <c r="R114" s="124">
        <v>1</v>
      </c>
      <c r="S114" s="124">
        <f t="shared" si="23"/>
        <v>12</v>
      </c>
      <c r="T114" s="126">
        <f t="shared" si="24"/>
        <v>46258</v>
      </c>
      <c r="U114" s="124">
        <f t="shared" ca="1" si="25"/>
        <v>110</v>
      </c>
      <c r="V114" s="125" t="s">
        <v>293</v>
      </c>
      <c r="W114" s="125" t="s">
        <v>253</v>
      </c>
      <c r="X114" s="125" t="s">
        <v>412</v>
      </c>
      <c r="Y114" s="125" t="s">
        <v>551</v>
      </c>
      <c r="Z114" s="130" t="s">
        <v>564</v>
      </c>
      <c r="AA114" s="126">
        <v>38158</v>
      </c>
      <c r="AB114" s="124">
        <v>10100003375</v>
      </c>
      <c r="AC114" s="126">
        <v>30351</v>
      </c>
      <c r="AD114" s="137"/>
      <c r="AE114" s="125" t="s">
        <v>581</v>
      </c>
      <c r="AF114" s="134"/>
      <c r="AG114" s="124" t="str">
        <f t="shared" ca="1" si="21"/>
        <v>ساري</v>
      </c>
      <c r="AH114" s="131"/>
    </row>
    <row r="115" spans="1:34" s="68" customFormat="1" ht="20.149999999999999" hidden="1" customHeight="1">
      <c r="A115" s="129">
        <v>113</v>
      </c>
      <c r="B115" s="125" t="s">
        <v>6</v>
      </c>
      <c r="C115" s="125" t="s">
        <v>6</v>
      </c>
      <c r="D115" s="125" t="s">
        <v>498</v>
      </c>
      <c r="E115" s="125" t="s">
        <v>195</v>
      </c>
      <c r="F115" s="125" t="s">
        <v>393</v>
      </c>
      <c r="G115" s="125"/>
      <c r="H115" s="125"/>
      <c r="I115" s="125"/>
      <c r="J115" s="124" t="s">
        <v>367</v>
      </c>
      <c r="K115" s="125" t="s">
        <v>6</v>
      </c>
      <c r="L115" s="130"/>
      <c r="M115" s="130" t="s">
        <v>241</v>
      </c>
      <c r="N115" s="130" t="s">
        <v>208</v>
      </c>
      <c r="O115" s="125" t="s">
        <v>480</v>
      </c>
      <c r="P115" s="152">
        <v>45897</v>
      </c>
      <c r="Q115" s="152">
        <v>45897</v>
      </c>
      <c r="R115" s="124">
        <v>1</v>
      </c>
      <c r="S115" s="124">
        <f t="shared" si="23"/>
        <v>12</v>
      </c>
      <c r="T115" s="126">
        <f>EDATE(Q115,S115)</f>
        <v>46262</v>
      </c>
      <c r="U115" s="124">
        <f t="shared" ca="1" si="25"/>
        <v>114</v>
      </c>
      <c r="V115" s="125" t="s">
        <v>539</v>
      </c>
      <c r="W115" s="125" t="s">
        <v>252</v>
      </c>
      <c r="X115" s="125" t="s">
        <v>413</v>
      </c>
      <c r="Y115" s="125" t="s">
        <v>547</v>
      </c>
      <c r="Z115" s="130" t="s">
        <v>564</v>
      </c>
      <c r="AA115" s="126">
        <v>42535</v>
      </c>
      <c r="AB115" s="124">
        <v>11236425479</v>
      </c>
      <c r="AC115" s="126">
        <v>32335</v>
      </c>
      <c r="AD115" s="124"/>
      <c r="AE115" s="125" t="s">
        <v>581</v>
      </c>
      <c r="AF115" s="134"/>
      <c r="AG115" s="124" t="str">
        <f t="shared" ca="1" si="21"/>
        <v>ساري</v>
      </c>
      <c r="AH115" s="131"/>
    </row>
    <row r="116" spans="1:34" s="68" customFormat="1" ht="19.5" hidden="1" customHeight="1">
      <c r="A116" s="129">
        <v>114</v>
      </c>
      <c r="B116" s="125" t="s">
        <v>6</v>
      </c>
      <c r="C116" s="125" t="s">
        <v>6</v>
      </c>
      <c r="D116" s="125" t="s">
        <v>568</v>
      </c>
      <c r="E116" s="125" t="s">
        <v>195</v>
      </c>
      <c r="F116" s="125" t="s">
        <v>393</v>
      </c>
      <c r="G116" s="125"/>
      <c r="H116" s="125"/>
      <c r="I116" s="125"/>
      <c r="J116" s="124" t="s">
        <v>367</v>
      </c>
      <c r="K116" s="125" t="s">
        <v>6</v>
      </c>
      <c r="L116" s="130"/>
      <c r="M116" s="130" t="s">
        <v>241</v>
      </c>
      <c r="N116" s="130" t="s">
        <v>208</v>
      </c>
      <c r="O116" s="125" t="s">
        <v>480</v>
      </c>
      <c r="P116" s="152">
        <v>45971</v>
      </c>
      <c r="Q116" s="152">
        <v>45971</v>
      </c>
      <c r="R116" s="124">
        <v>1</v>
      </c>
      <c r="S116" s="124">
        <f t="shared" si="23"/>
        <v>12</v>
      </c>
      <c r="T116" s="126">
        <f t="shared" si="24"/>
        <v>46336</v>
      </c>
      <c r="U116" s="124">
        <f t="shared" ca="1" si="25"/>
        <v>188</v>
      </c>
      <c r="V116" s="125" t="s">
        <v>293</v>
      </c>
      <c r="W116" s="125" t="s">
        <v>253</v>
      </c>
      <c r="X116" s="125" t="s">
        <v>413</v>
      </c>
      <c r="Y116" s="125" t="s">
        <v>547</v>
      </c>
      <c r="Z116" s="130" t="s">
        <v>569</v>
      </c>
      <c r="AA116" s="126">
        <v>44545</v>
      </c>
      <c r="AB116" s="124">
        <v>20464908354</v>
      </c>
      <c r="AC116" s="126">
        <v>35490</v>
      </c>
      <c r="AD116" s="137"/>
      <c r="AE116" s="125" t="s">
        <v>581</v>
      </c>
      <c r="AF116" s="134"/>
      <c r="AG116" s="124" t="str">
        <f t="shared" ca="1" si="21"/>
        <v>ساري</v>
      </c>
      <c r="AH116" s="131" t="s">
        <v>570</v>
      </c>
    </row>
    <row r="117" spans="1:34" s="68" customFormat="1" ht="19.5" hidden="1" customHeight="1">
      <c r="A117" s="129">
        <v>115</v>
      </c>
      <c r="B117" s="125" t="s">
        <v>6</v>
      </c>
      <c r="C117" s="125" t="s">
        <v>6</v>
      </c>
      <c r="D117" s="125" t="s">
        <v>513</v>
      </c>
      <c r="E117" s="125" t="s">
        <v>195</v>
      </c>
      <c r="F117" s="125" t="s">
        <v>393</v>
      </c>
      <c r="G117" s="125"/>
      <c r="H117" s="125"/>
      <c r="I117" s="125"/>
      <c r="J117" s="124" t="s">
        <v>367</v>
      </c>
      <c r="K117" s="125" t="s">
        <v>6</v>
      </c>
      <c r="L117" s="130"/>
      <c r="M117" s="130" t="s">
        <v>234</v>
      </c>
      <c r="N117" s="130" t="s">
        <v>208</v>
      </c>
      <c r="O117" s="125" t="s">
        <v>480</v>
      </c>
      <c r="P117" s="152">
        <v>45978</v>
      </c>
      <c r="Q117" s="152">
        <v>45978</v>
      </c>
      <c r="R117" s="124">
        <v>1</v>
      </c>
      <c r="S117" s="124">
        <f t="shared" si="23"/>
        <v>12</v>
      </c>
      <c r="T117" s="126">
        <f t="shared" si="24"/>
        <v>46343</v>
      </c>
      <c r="U117" s="124">
        <f t="shared" ca="1" si="25"/>
        <v>195</v>
      </c>
      <c r="V117" s="125" t="s">
        <v>293</v>
      </c>
      <c r="W117" s="125" t="s">
        <v>253</v>
      </c>
      <c r="X117" s="125" t="s">
        <v>412</v>
      </c>
      <c r="Y117" s="125" t="s">
        <v>572</v>
      </c>
      <c r="Z117" s="130" t="s">
        <v>571</v>
      </c>
      <c r="AA117" s="126">
        <v>45473</v>
      </c>
      <c r="AB117" s="124">
        <v>11981629726</v>
      </c>
      <c r="AC117" s="126">
        <v>37971</v>
      </c>
      <c r="AD117" s="137"/>
      <c r="AE117" s="125" t="s">
        <v>581</v>
      </c>
      <c r="AF117" s="134"/>
      <c r="AG117" s="124" t="str">
        <f t="shared" ca="1" si="21"/>
        <v>ساري</v>
      </c>
      <c r="AH117" s="131" t="s">
        <v>570</v>
      </c>
    </row>
    <row r="118" spans="1:34" s="68" customFormat="1" ht="19.5" hidden="1" customHeight="1">
      <c r="A118" s="129">
        <v>116</v>
      </c>
      <c r="B118" s="125" t="s">
        <v>6</v>
      </c>
      <c r="C118" s="125" t="s">
        <v>6</v>
      </c>
      <c r="D118" s="125" t="s">
        <v>512</v>
      </c>
      <c r="E118" s="125" t="s">
        <v>195</v>
      </c>
      <c r="F118" s="125" t="s">
        <v>393</v>
      </c>
      <c r="G118" s="125"/>
      <c r="H118" s="125"/>
      <c r="I118" s="125"/>
      <c r="J118" s="124" t="s">
        <v>367</v>
      </c>
      <c r="K118" s="125" t="s">
        <v>6</v>
      </c>
      <c r="L118" s="130"/>
      <c r="M118" s="130" t="s">
        <v>234</v>
      </c>
      <c r="N118" s="130" t="s">
        <v>208</v>
      </c>
      <c r="O118" s="125" t="s">
        <v>480</v>
      </c>
      <c r="P118" s="152">
        <v>45978</v>
      </c>
      <c r="Q118" s="152">
        <v>45978</v>
      </c>
      <c r="R118" s="124">
        <v>1</v>
      </c>
      <c r="S118" s="124">
        <f t="shared" si="23"/>
        <v>12</v>
      </c>
      <c r="T118" s="126">
        <f t="shared" si="24"/>
        <v>46343</v>
      </c>
      <c r="U118" s="124">
        <f t="shared" ca="1" si="25"/>
        <v>195</v>
      </c>
      <c r="V118" s="125" t="s">
        <v>293</v>
      </c>
      <c r="W118" s="125" t="s">
        <v>253</v>
      </c>
      <c r="X118" s="125" t="s">
        <v>413</v>
      </c>
      <c r="Y118" s="125" t="s">
        <v>547</v>
      </c>
      <c r="Z118" s="130" t="s">
        <v>589</v>
      </c>
      <c r="AA118" s="126">
        <v>42926</v>
      </c>
      <c r="AB118" s="124">
        <v>11289147586</v>
      </c>
      <c r="AC118" s="126"/>
      <c r="AD118" s="124"/>
      <c r="AE118" s="125" t="s">
        <v>581</v>
      </c>
      <c r="AF118" s="134"/>
      <c r="AG118" s="124" t="str">
        <f t="shared" ca="1" si="21"/>
        <v>منتهي</v>
      </c>
      <c r="AH118" s="131" t="s">
        <v>586</v>
      </c>
    </row>
    <row r="119" spans="1:34" s="68" customFormat="1" ht="19.5" customHeight="1">
      <c r="A119" s="129">
        <v>117</v>
      </c>
      <c r="B119" s="125" t="s">
        <v>6</v>
      </c>
      <c r="C119" s="125" t="s">
        <v>6</v>
      </c>
      <c r="D119" s="125" t="s">
        <v>514</v>
      </c>
      <c r="E119" s="125" t="s">
        <v>197</v>
      </c>
      <c r="F119" s="125" t="s">
        <v>389</v>
      </c>
      <c r="G119" s="125"/>
      <c r="H119" s="125"/>
      <c r="I119" s="125"/>
      <c r="J119" s="124" t="s">
        <v>367</v>
      </c>
      <c r="K119" s="125" t="s">
        <v>461</v>
      </c>
      <c r="L119" s="130"/>
      <c r="M119" s="130" t="s">
        <v>241</v>
      </c>
      <c r="N119" s="130" t="s">
        <v>208</v>
      </c>
      <c r="O119" s="125" t="s">
        <v>480</v>
      </c>
      <c r="P119" s="152">
        <v>44986</v>
      </c>
      <c r="Q119" s="152">
        <v>44986</v>
      </c>
      <c r="R119" s="124">
        <v>1</v>
      </c>
      <c r="S119" s="124">
        <f t="shared" si="23"/>
        <v>12</v>
      </c>
      <c r="T119" s="126">
        <f t="shared" si="24"/>
        <v>45352</v>
      </c>
      <c r="U119" s="124">
        <f t="shared" ca="1" si="25"/>
        <v>-796</v>
      </c>
      <c r="V119" s="125" t="s">
        <v>293</v>
      </c>
      <c r="W119" s="125" t="s">
        <v>253</v>
      </c>
      <c r="X119" s="125" t="s">
        <v>413</v>
      </c>
      <c r="Y119" s="125"/>
      <c r="Z119" s="130"/>
      <c r="AA119" s="126"/>
      <c r="AB119" s="124"/>
      <c r="AC119" s="126"/>
      <c r="AD119" s="124"/>
      <c r="AE119" s="156" t="s">
        <v>580</v>
      </c>
      <c r="AF119" s="134"/>
      <c r="AG119" s="124" t="str">
        <f t="shared" ca="1" si="21"/>
        <v>منتهي</v>
      </c>
      <c r="AH119" s="131"/>
    </row>
    <row r="120" spans="1:34" s="68" customFormat="1" ht="19.5" customHeight="1">
      <c r="A120" s="129">
        <v>118</v>
      </c>
      <c r="B120" s="125" t="s">
        <v>6</v>
      </c>
      <c r="C120" s="125" t="s">
        <v>6</v>
      </c>
      <c r="D120" s="125" t="s">
        <v>156</v>
      </c>
      <c r="E120" s="125" t="s">
        <v>197</v>
      </c>
      <c r="F120" s="125" t="s">
        <v>389</v>
      </c>
      <c r="G120" s="125"/>
      <c r="H120" s="125"/>
      <c r="I120" s="125"/>
      <c r="J120" s="124" t="s">
        <v>367</v>
      </c>
      <c r="K120" s="125" t="s">
        <v>461</v>
      </c>
      <c r="L120" s="130"/>
      <c r="M120" s="130" t="s">
        <v>241</v>
      </c>
      <c r="N120" s="130" t="s">
        <v>208</v>
      </c>
      <c r="O120" s="125" t="s">
        <v>480</v>
      </c>
      <c r="P120" s="152">
        <v>44986</v>
      </c>
      <c r="Q120" s="152">
        <v>44986</v>
      </c>
      <c r="R120" s="124">
        <v>1</v>
      </c>
      <c r="S120" s="124">
        <f t="shared" si="23"/>
        <v>12</v>
      </c>
      <c r="T120" s="126">
        <f t="shared" si="24"/>
        <v>45352</v>
      </c>
      <c r="U120" s="124">
        <f t="shared" ca="1" si="25"/>
        <v>-796</v>
      </c>
      <c r="V120" s="125" t="s">
        <v>539</v>
      </c>
      <c r="W120" s="125" t="s">
        <v>252</v>
      </c>
      <c r="X120" s="125" t="s">
        <v>413</v>
      </c>
      <c r="Y120" s="125"/>
      <c r="Z120" s="130"/>
      <c r="AA120" s="126"/>
      <c r="AB120" s="124"/>
      <c r="AC120" s="126"/>
      <c r="AD120" s="124"/>
      <c r="AE120" s="156" t="s">
        <v>580</v>
      </c>
      <c r="AF120" s="134"/>
      <c r="AG120" s="124" t="str">
        <f t="shared" ca="1" si="21"/>
        <v>منتهي</v>
      </c>
      <c r="AH120" s="131"/>
    </row>
    <row r="121" spans="1:34" s="68" customFormat="1" ht="19.5" customHeight="1">
      <c r="A121" s="129">
        <v>119</v>
      </c>
      <c r="B121" s="125" t="s">
        <v>6</v>
      </c>
      <c r="C121" s="125" t="s">
        <v>6</v>
      </c>
      <c r="D121" s="125" t="s">
        <v>518</v>
      </c>
      <c r="E121" s="125" t="s">
        <v>197</v>
      </c>
      <c r="F121" s="125" t="s">
        <v>389</v>
      </c>
      <c r="G121" s="125"/>
      <c r="H121" s="125"/>
      <c r="I121" s="125"/>
      <c r="J121" s="124" t="s">
        <v>367</v>
      </c>
      <c r="K121" s="125" t="s">
        <v>461</v>
      </c>
      <c r="L121" s="130"/>
      <c r="M121" s="130" t="s">
        <v>241</v>
      </c>
      <c r="N121" s="130" t="s">
        <v>208</v>
      </c>
      <c r="O121" s="125" t="s">
        <v>480</v>
      </c>
      <c r="P121" s="152">
        <v>44986</v>
      </c>
      <c r="Q121" s="152">
        <v>44986</v>
      </c>
      <c r="R121" s="124">
        <v>1</v>
      </c>
      <c r="S121" s="124">
        <f t="shared" si="23"/>
        <v>12</v>
      </c>
      <c r="T121" s="126">
        <f t="shared" si="24"/>
        <v>45352</v>
      </c>
      <c r="U121" s="124">
        <f t="shared" ca="1" si="25"/>
        <v>-796</v>
      </c>
      <c r="V121" s="125" t="s">
        <v>293</v>
      </c>
      <c r="W121" s="125" t="s">
        <v>253</v>
      </c>
      <c r="X121" s="125" t="s">
        <v>413</v>
      </c>
      <c r="Y121" s="125"/>
      <c r="Z121" s="130"/>
      <c r="AA121" s="126"/>
      <c r="AB121" s="124"/>
      <c r="AC121" s="126"/>
      <c r="AD121" s="124"/>
      <c r="AE121" s="156" t="s">
        <v>580</v>
      </c>
      <c r="AF121" s="134"/>
      <c r="AG121" s="124" t="str">
        <f t="shared" ca="1" si="21"/>
        <v>ساري</v>
      </c>
      <c r="AH121" s="131"/>
    </row>
    <row r="122" spans="1:34" s="68" customFormat="1" ht="19.5" hidden="1" customHeight="1">
      <c r="A122" s="129">
        <v>120</v>
      </c>
      <c r="B122" s="125" t="s">
        <v>6</v>
      </c>
      <c r="C122" s="125" t="s">
        <v>6</v>
      </c>
      <c r="D122" s="125" t="s">
        <v>519</v>
      </c>
      <c r="E122" s="125" t="s">
        <v>197</v>
      </c>
      <c r="F122" s="125" t="s">
        <v>389</v>
      </c>
      <c r="G122" s="125"/>
      <c r="H122" s="125"/>
      <c r="I122" s="125"/>
      <c r="J122" s="124" t="s">
        <v>367</v>
      </c>
      <c r="K122" s="125" t="s">
        <v>461</v>
      </c>
      <c r="L122" s="130"/>
      <c r="M122" s="130" t="s">
        <v>241</v>
      </c>
      <c r="N122" s="130" t="s">
        <v>208</v>
      </c>
      <c r="O122" s="125" t="s">
        <v>480</v>
      </c>
      <c r="P122" s="152">
        <v>46049</v>
      </c>
      <c r="Q122" s="152">
        <v>46049</v>
      </c>
      <c r="R122" s="124">
        <v>1</v>
      </c>
      <c r="S122" s="124">
        <f t="shared" si="23"/>
        <v>12</v>
      </c>
      <c r="T122" s="126">
        <f t="shared" ref="T122" si="26">EDATE(Q122,S122)</f>
        <v>46414</v>
      </c>
      <c r="U122" s="124">
        <f t="shared" ca="1" si="25"/>
        <v>266</v>
      </c>
      <c r="V122" s="125" t="s">
        <v>293</v>
      </c>
      <c r="W122" s="125" t="s">
        <v>253</v>
      </c>
      <c r="X122" s="125" t="s">
        <v>413</v>
      </c>
      <c r="Y122" s="125"/>
      <c r="Z122" s="130"/>
      <c r="AA122" s="126"/>
      <c r="AB122" s="124"/>
      <c r="AC122" s="126"/>
      <c r="AD122" s="124"/>
      <c r="AE122" s="125" t="s">
        <v>581</v>
      </c>
      <c r="AF122" s="134"/>
      <c r="AG122" s="124" t="str">
        <f t="shared" ca="1" si="21"/>
        <v>ساري</v>
      </c>
      <c r="AH122" s="131"/>
    </row>
    <row r="123" spans="1:34" s="68" customFormat="1" ht="19.5" hidden="1" customHeight="1">
      <c r="A123" s="129">
        <v>121</v>
      </c>
      <c r="B123" s="125" t="s">
        <v>6</v>
      </c>
      <c r="C123" s="125" t="s">
        <v>6</v>
      </c>
      <c r="D123" s="125" t="s">
        <v>527</v>
      </c>
      <c r="E123" s="125" t="s">
        <v>195</v>
      </c>
      <c r="F123" s="125"/>
      <c r="G123" s="125"/>
      <c r="H123" s="125"/>
      <c r="I123" s="125"/>
      <c r="J123" s="124" t="s">
        <v>367</v>
      </c>
      <c r="K123" s="125" t="s">
        <v>6</v>
      </c>
      <c r="L123" s="130"/>
      <c r="M123" s="130" t="s">
        <v>241</v>
      </c>
      <c r="N123" s="130" t="s">
        <v>208</v>
      </c>
      <c r="O123" s="125" t="s">
        <v>480</v>
      </c>
      <c r="P123" s="152">
        <v>46061</v>
      </c>
      <c r="Q123" s="152">
        <v>46061</v>
      </c>
      <c r="R123" s="124">
        <v>1</v>
      </c>
      <c r="S123" s="124">
        <f t="shared" si="23"/>
        <v>12</v>
      </c>
      <c r="T123" s="126">
        <f t="shared" ref="T123:T125" si="27">EDATE(Q123,S123)</f>
        <v>46426</v>
      </c>
      <c r="U123" s="124">
        <f t="shared" ref="U123:U128" ca="1" si="28">T123-TODAY()</f>
        <v>278</v>
      </c>
      <c r="V123" s="125" t="s">
        <v>293</v>
      </c>
      <c r="W123" s="125" t="s">
        <v>253</v>
      </c>
      <c r="X123" s="125" t="s">
        <v>413</v>
      </c>
      <c r="Y123" s="125"/>
      <c r="Z123" s="130"/>
      <c r="AA123" s="126"/>
      <c r="AB123" s="124"/>
      <c r="AC123" s="126"/>
      <c r="AD123" s="124"/>
      <c r="AE123" s="125" t="s">
        <v>581</v>
      </c>
      <c r="AF123" s="134"/>
      <c r="AG123" s="124" t="str">
        <f t="shared" ca="1" si="21"/>
        <v>ساري</v>
      </c>
      <c r="AH123" s="131"/>
    </row>
    <row r="124" spans="1:34" s="68" customFormat="1" ht="19.5" hidden="1" customHeight="1">
      <c r="A124" s="129">
        <v>122</v>
      </c>
      <c r="B124" s="125" t="s">
        <v>6</v>
      </c>
      <c r="C124" s="125" t="s">
        <v>6</v>
      </c>
      <c r="D124" s="125" t="s">
        <v>528</v>
      </c>
      <c r="E124" s="125" t="s">
        <v>195</v>
      </c>
      <c r="F124" s="125"/>
      <c r="G124" s="125"/>
      <c r="H124" s="125"/>
      <c r="I124" s="125"/>
      <c r="J124" s="124" t="s">
        <v>367</v>
      </c>
      <c r="K124" s="125" t="s">
        <v>6</v>
      </c>
      <c r="L124" s="130"/>
      <c r="M124" s="130" t="s">
        <v>241</v>
      </c>
      <c r="N124" s="130" t="s">
        <v>208</v>
      </c>
      <c r="O124" s="125" t="s">
        <v>480</v>
      </c>
      <c r="P124" s="152">
        <v>46061</v>
      </c>
      <c r="Q124" s="152">
        <v>46061</v>
      </c>
      <c r="R124" s="124">
        <v>1</v>
      </c>
      <c r="S124" s="124">
        <f t="shared" si="23"/>
        <v>12</v>
      </c>
      <c r="T124" s="126">
        <f t="shared" si="27"/>
        <v>46426</v>
      </c>
      <c r="U124" s="124">
        <f t="shared" ca="1" si="28"/>
        <v>278</v>
      </c>
      <c r="V124" s="125" t="s">
        <v>539</v>
      </c>
      <c r="W124" s="125" t="s">
        <v>252</v>
      </c>
      <c r="X124" s="125" t="s">
        <v>413</v>
      </c>
      <c r="Y124" s="125"/>
      <c r="Z124" s="130"/>
      <c r="AA124" s="126"/>
      <c r="AB124" s="124"/>
      <c r="AC124" s="126"/>
      <c r="AD124" s="124"/>
      <c r="AE124" s="125" t="s">
        <v>581</v>
      </c>
      <c r="AF124" s="134"/>
      <c r="AG124" s="124" t="str">
        <f t="shared" ca="1" si="21"/>
        <v>ساري</v>
      </c>
      <c r="AH124" s="131"/>
    </row>
    <row r="125" spans="1:34" s="68" customFormat="1" ht="19.5" hidden="1" customHeight="1">
      <c r="A125" s="129">
        <v>123</v>
      </c>
      <c r="B125" s="125" t="s">
        <v>6</v>
      </c>
      <c r="C125" s="125" t="s">
        <v>6</v>
      </c>
      <c r="D125" s="125" t="s">
        <v>499</v>
      </c>
      <c r="E125" s="125" t="s">
        <v>195</v>
      </c>
      <c r="F125" s="125" t="s">
        <v>393</v>
      </c>
      <c r="G125" s="125"/>
      <c r="H125" s="125"/>
      <c r="I125" s="125"/>
      <c r="J125" s="124" t="s">
        <v>367</v>
      </c>
      <c r="K125" s="125" t="s">
        <v>6</v>
      </c>
      <c r="L125" s="130"/>
      <c r="M125" s="130" t="s">
        <v>278</v>
      </c>
      <c r="N125" s="130" t="s">
        <v>208</v>
      </c>
      <c r="O125" s="125" t="s">
        <v>480</v>
      </c>
      <c r="P125" s="152">
        <v>46092</v>
      </c>
      <c r="Q125" s="152">
        <v>46092</v>
      </c>
      <c r="R125" s="124">
        <v>1</v>
      </c>
      <c r="S125" s="124">
        <f t="shared" si="23"/>
        <v>12</v>
      </c>
      <c r="T125" s="126">
        <f t="shared" si="27"/>
        <v>46457</v>
      </c>
      <c r="U125" s="124">
        <f t="shared" ca="1" si="28"/>
        <v>309</v>
      </c>
      <c r="V125" s="125" t="s">
        <v>293</v>
      </c>
      <c r="W125" s="125" t="s">
        <v>253</v>
      </c>
      <c r="X125" s="125" t="s">
        <v>412</v>
      </c>
      <c r="Y125" s="125"/>
      <c r="Z125" s="130"/>
      <c r="AA125" s="126"/>
      <c r="AB125" s="124"/>
      <c r="AC125" s="126"/>
      <c r="AD125" s="124"/>
      <c r="AE125" s="125" t="s">
        <v>581</v>
      </c>
      <c r="AF125" s="134"/>
      <c r="AG125" s="124" t="str">
        <f t="shared" ca="1" si="21"/>
        <v>ساري</v>
      </c>
      <c r="AH125" s="131"/>
    </row>
    <row r="126" spans="1:34" s="68" customFormat="1" ht="19.5" hidden="1" customHeight="1">
      <c r="A126" s="129">
        <v>124</v>
      </c>
      <c r="B126" s="125" t="s">
        <v>6</v>
      </c>
      <c r="C126" s="125" t="s">
        <v>6</v>
      </c>
      <c r="D126" s="125" t="s">
        <v>529</v>
      </c>
      <c r="E126" s="125" t="s">
        <v>195</v>
      </c>
      <c r="F126" s="125"/>
      <c r="G126" s="125"/>
      <c r="H126" s="125"/>
      <c r="I126" s="125"/>
      <c r="J126" s="124" t="s">
        <v>367</v>
      </c>
      <c r="K126" s="125" t="s">
        <v>6</v>
      </c>
      <c r="L126" s="130"/>
      <c r="M126" s="130" t="s">
        <v>241</v>
      </c>
      <c r="N126" s="130" t="s">
        <v>208</v>
      </c>
      <c r="O126" s="125" t="s">
        <v>480</v>
      </c>
      <c r="P126" s="152">
        <v>46092</v>
      </c>
      <c r="Q126" s="152">
        <v>46092</v>
      </c>
      <c r="R126" s="124">
        <v>1</v>
      </c>
      <c r="S126" s="124">
        <f t="shared" si="23"/>
        <v>12</v>
      </c>
      <c r="T126" s="126">
        <v>46457</v>
      </c>
      <c r="U126" s="124">
        <f t="shared" ca="1" si="28"/>
        <v>309</v>
      </c>
      <c r="V126" s="125" t="s">
        <v>293</v>
      </c>
      <c r="W126" s="125" t="s">
        <v>253</v>
      </c>
      <c r="X126" s="125" t="s">
        <v>413</v>
      </c>
      <c r="Y126" s="125"/>
      <c r="Z126" s="130"/>
      <c r="AA126" s="126"/>
      <c r="AB126" s="124"/>
      <c r="AC126" s="126"/>
      <c r="AD126" s="124"/>
      <c r="AE126" s="125" t="s">
        <v>581</v>
      </c>
      <c r="AF126" s="134"/>
      <c r="AG126" s="124" t="str">
        <f t="shared" ca="1" si="21"/>
        <v>ساري</v>
      </c>
      <c r="AH126" s="131"/>
    </row>
    <row r="127" spans="1:34" s="68" customFormat="1" ht="19.5" hidden="1" customHeight="1">
      <c r="A127" s="129">
        <v>125</v>
      </c>
      <c r="B127" s="125" t="s">
        <v>6</v>
      </c>
      <c r="C127" s="125" t="s">
        <v>6</v>
      </c>
      <c r="D127" s="125" t="s">
        <v>530</v>
      </c>
      <c r="E127" s="125" t="s">
        <v>195</v>
      </c>
      <c r="F127" s="125" t="s">
        <v>393</v>
      </c>
      <c r="G127" s="125"/>
      <c r="H127" s="125"/>
      <c r="I127" s="125"/>
      <c r="J127" s="124" t="s">
        <v>367</v>
      </c>
      <c r="K127" s="125" t="s">
        <v>6</v>
      </c>
      <c r="L127" s="130"/>
      <c r="M127" s="130" t="s">
        <v>239</v>
      </c>
      <c r="N127" s="130" t="s">
        <v>208</v>
      </c>
      <c r="O127" s="125" t="s">
        <v>480</v>
      </c>
      <c r="P127" s="152">
        <v>46092</v>
      </c>
      <c r="Q127" s="152">
        <v>46092</v>
      </c>
      <c r="R127" s="124">
        <v>1</v>
      </c>
      <c r="S127" s="124">
        <f t="shared" si="23"/>
        <v>12</v>
      </c>
      <c r="T127" s="126">
        <v>46457</v>
      </c>
      <c r="U127" s="124">
        <f t="shared" ca="1" si="28"/>
        <v>309</v>
      </c>
      <c r="V127" s="125" t="s">
        <v>293</v>
      </c>
      <c r="W127" s="125" t="s">
        <v>253</v>
      </c>
      <c r="X127" s="125" t="s">
        <v>412</v>
      </c>
      <c r="Y127" s="125"/>
      <c r="Z127" s="130"/>
      <c r="AA127" s="126"/>
      <c r="AB127" s="124"/>
      <c r="AC127" s="126"/>
      <c r="AD127" s="124"/>
      <c r="AE127" s="125" t="s">
        <v>581</v>
      </c>
      <c r="AF127" s="134"/>
      <c r="AG127" s="124" t="str">
        <f t="shared" ca="1" si="21"/>
        <v>ساري</v>
      </c>
      <c r="AH127" s="131"/>
    </row>
    <row r="128" spans="1:34" s="68" customFormat="1" ht="19.5" hidden="1" customHeight="1">
      <c r="A128" s="129">
        <v>126</v>
      </c>
      <c r="B128" s="125" t="s">
        <v>6</v>
      </c>
      <c r="C128" s="125" t="s">
        <v>6</v>
      </c>
      <c r="D128" s="125" t="s">
        <v>531</v>
      </c>
      <c r="E128" s="125" t="s">
        <v>195</v>
      </c>
      <c r="F128" s="125" t="s">
        <v>393</v>
      </c>
      <c r="G128" s="125"/>
      <c r="H128" s="125"/>
      <c r="I128" s="125"/>
      <c r="J128" s="124" t="s">
        <v>367</v>
      </c>
      <c r="K128" s="125" t="s">
        <v>6</v>
      </c>
      <c r="L128" s="130"/>
      <c r="M128" s="130" t="s">
        <v>241</v>
      </c>
      <c r="N128" s="130" t="s">
        <v>208</v>
      </c>
      <c r="O128" s="125" t="s">
        <v>480</v>
      </c>
      <c r="P128" s="152">
        <v>46124</v>
      </c>
      <c r="Q128" s="152">
        <v>46124</v>
      </c>
      <c r="R128" s="124">
        <v>1</v>
      </c>
      <c r="S128" s="124">
        <f t="shared" si="23"/>
        <v>12</v>
      </c>
      <c r="T128" s="126">
        <v>46489</v>
      </c>
      <c r="U128" s="124">
        <f t="shared" ca="1" si="28"/>
        <v>341</v>
      </c>
      <c r="V128" s="125" t="s">
        <v>293</v>
      </c>
      <c r="W128" s="125" t="s">
        <v>253</v>
      </c>
      <c r="X128" s="125" t="s">
        <v>413</v>
      </c>
      <c r="Y128" s="125" t="s">
        <v>547</v>
      </c>
      <c r="Z128" s="130" t="s">
        <v>556</v>
      </c>
      <c r="AA128" s="126">
        <v>45116</v>
      </c>
      <c r="AB128" s="124">
        <v>12061596860</v>
      </c>
      <c r="AC128" s="126">
        <v>35588</v>
      </c>
      <c r="AD128" s="155"/>
      <c r="AE128" s="125" t="s">
        <v>581</v>
      </c>
      <c r="AG128" s="124" t="str">
        <f t="shared" ca="1" si="21"/>
        <v>منتهي</v>
      </c>
      <c r="AH128" s="131"/>
    </row>
    <row r="129" spans="1:34" s="68" customFormat="1" ht="20.149999999999999" hidden="1" customHeight="1">
      <c r="A129" s="129">
        <v>127</v>
      </c>
      <c r="B129" s="125" t="s">
        <v>329</v>
      </c>
      <c r="C129" s="135" t="s">
        <v>329</v>
      </c>
      <c r="D129" s="125" t="s">
        <v>517</v>
      </c>
      <c r="E129" s="125" t="s">
        <v>195</v>
      </c>
      <c r="F129" s="125" t="s">
        <v>393</v>
      </c>
      <c r="G129" s="125"/>
      <c r="H129" s="125"/>
      <c r="I129" s="125"/>
      <c r="J129" s="124" t="s">
        <v>367</v>
      </c>
      <c r="K129" s="125" t="s">
        <v>329</v>
      </c>
      <c r="L129" s="130"/>
      <c r="M129" s="130" t="s">
        <v>241</v>
      </c>
      <c r="N129" s="130" t="s">
        <v>351</v>
      </c>
      <c r="O129" s="125" t="s">
        <v>557</v>
      </c>
      <c r="P129" s="152">
        <v>46034</v>
      </c>
      <c r="Q129" s="154">
        <v>46123</v>
      </c>
      <c r="R129" s="124">
        <v>1</v>
      </c>
      <c r="S129" s="124">
        <f t="shared" si="23"/>
        <v>12</v>
      </c>
      <c r="T129" s="136">
        <v>46123</v>
      </c>
      <c r="U129" s="124">
        <f t="shared" ref="U129:U130" ca="1" si="29">T129-TODAY()</f>
        <v>-25</v>
      </c>
      <c r="V129" s="125" t="s">
        <v>293</v>
      </c>
      <c r="W129" s="125" t="s">
        <v>253</v>
      </c>
      <c r="X129" s="125" t="s">
        <v>413</v>
      </c>
      <c r="Y129" s="125"/>
      <c r="Z129" s="130"/>
      <c r="AA129" s="126"/>
      <c r="AB129" s="124"/>
      <c r="AC129" s="126"/>
      <c r="AD129" s="124"/>
      <c r="AE129" s="125" t="s">
        <v>351</v>
      </c>
      <c r="AF129" s="134"/>
      <c r="AG129" s="124" t="str">
        <f t="shared" ca="1" si="21"/>
        <v>منتهي</v>
      </c>
      <c r="AH129" s="131"/>
    </row>
    <row r="130" spans="1:34" s="68" customFormat="1" ht="20.149999999999999" hidden="1" customHeight="1">
      <c r="A130" s="129">
        <v>128</v>
      </c>
      <c r="B130" s="125" t="s">
        <v>329</v>
      </c>
      <c r="C130" s="135" t="s">
        <v>329</v>
      </c>
      <c r="D130" s="125" t="s">
        <v>537</v>
      </c>
      <c r="E130" s="125" t="s">
        <v>195</v>
      </c>
      <c r="F130" s="125" t="s">
        <v>393</v>
      </c>
      <c r="G130" s="125"/>
      <c r="H130" s="125"/>
      <c r="I130" s="125"/>
      <c r="J130" s="124" t="s">
        <v>368</v>
      </c>
      <c r="K130" s="125" t="s">
        <v>329</v>
      </c>
      <c r="L130" s="130"/>
      <c r="M130" s="130" t="s">
        <v>237</v>
      </c>
      <c r="N130" s="130" t="s">
        <v>351</v>
      </c>
      <c r="O130" s="125" t="s">
        <v>557</v>
      </c>
      <c r="P130" s="152">
        <v>46034</v>
      </c>
      <c r="Q130" s="154">
        <v>46123</v>
      </c>
      <c r="R130" s="124">
        <v>1</v>
      </c>
      <c r="S130" s="124">
        <f t="shared" si="23"/>
        <v>12</v>
      </c>
      <c r="T130" s="136">
        <v>46123</v>
      </c>
      <c r="U130" s="124">
        <f t="shared" ca="1" si="29"/>
        <v>-25</v>
      </c>
      <c r="V130" s="125" t="s">
        <v>293</v>
      </c>
      <c r="W130" s="125" t="s">
        <v>253</v>
      </c>
      <c r="X130" s="125" t="s">
        <v>412</v>
      </c>
      <c r="Y130" s="125"/>
      <c r="Z130" s="130"/>
      <c r="AA130" s="126"/>
      <c r="AB130" s="124"/>
      <c r="AC130" s="126"/>
      <c r="AD130" s="124"/>
      <c r="AE130" s="125" t="s">
        <v>351</v>
      </c>
      <c r="AF130" s="134"/>
      <c r="AG130" s="124" t="str">
        <f t="shared" ca="1" si="21"/>
        <v>منتهي</v>
      </c>
      <c r="AH130" s="131"/>
    </row>
    <row r="131" spans="1:34" s="68" customFormat="1" ht="20.149999999999999" hidden="1" customHeight="1">
      <c r="A131" s="129">
        <v>129</v>
      </c>
      <c r="B131" s="125" t="s">
        <v>329</v>
      </c>
      <c r="C131" s="135" t="s">
        <v>329</v>
      </c>
      <c r="D131" s="125" t="s">
        <v>538</v>
      </c>
      <c r="E131" s="125" t="s">
        <v>197</v>
      </c>
      <c r="F131" s="125" t="s">
        <v>389</v>
      </c>
      <c r="G131" s="125"/>
      <c r="H131" s="125"/>
      <c r="I131" s="125"/>
      <c r="J131" s="124" t="s">
        <v>368</v>
      </c>
      <c r="K131" s="125" t="s">
        <v>329</v>
      </c>
      <c r="L131" s="130"/>
      <c r="M131" s="130" t="s">
        <v>241</v>
      </c>
      <c r="N131" s="130" t="s">
        <v>351</v>
      </c>
      <c r="O131" s="125" t="s">
        <v>557</v>
      </c>
      <c r="P131" s="152">
        <v>46034</v>
      </c>
      <c r="Q131" s="154">
        <v>46123</v>
      </c>
      <c r="R131" s="124">
        <v>1</v>
      </c>
      <c r="S131" s="124">
        <f t="shared" ref="S131" si="30">R131*12</f>
        <v>12</v>
      </c>
      <c r="T131" s="136">
        <v>46123</v>
      </c>
      <c r="U131" s="124">
        <f t="shared" ca="1" si="25"/>
        <v>-25</v>
      </c>
      <c r="V131" s="125" t="s">
        <v>293</v>
      </c>
      <c r="W131" s="125" t="s">
        <v>253</v>
      </c>
      <c r="X131" s="125" t="s">
        <v>413</v>
      </c>
      <c r="Y131" s="125"/>
      <c r="Z131" s="130"/>
      <c r="AA131" s="126"/>
      <c r="AB131" s="124"/>
      <c r="AC131" s="126"/>
      <c r="AD131" s="124"/>
      <c r="AE131" s="125" t="s">
        <v>351</v>
      </c>
      <c r="AF131" s="134"/>
      <c r="AG131" s="124" t="str">
        <f t="shared" ca="1" si="21"/>
        <v>منتهي</v>
      </c>
      <c r="AH131" s="131"/>
    </row>
  </sheetData>
  <autoFilter ref="A2:AG131" xr:uid="{00000000-0001-0000-0100-000000000000}">
    <filterColumn colId="1">
      <filters>
        <filter val="متدرب"/>
        <filter val="موظف"/>
      </filters>
    </filterColumn>
    <filterColumn colId="30">
      <filters>
        <filter val="خدمة مستديمة"/>
      </filters>
    </filterColumn>
    <sortState xmlns:xlrd2="http://schemas.microsoft.com/office/spreadsheetml/2017/richdata2" ref="A53:AG128">
      <sortCondition ref="P2:P128"/>
    </sortState>
  </autoFilter>
  <sortState xmlns:xlrd2="http://schemas.microsoft.com/office/spreadsheetml/2017/richdata2" ref="A3:AH131">
    <sortCondition ref="A2:A131"/>
  </sortState>
  <mergeCells count="1">
    <mergeCell ref="A1:D1"/>
  </mergeCells>
  <phoneticPr fontId="16" type="noConversion"/>
  <conditionalFormatting sqref="AG2:AG1048576">
    <cfRule type="containsText" dxfId="65" priority="29" operator="containsText" text="انتهي العقد">
      <formula>NOT(ISERROR(SEARCH("انتهي العقد",AG2)))</formula>
    </cfRule>
  </conditionalFormatting>
  <conditionalFormatting sqref="AG1:AG1048576">
    <cfRule type="containsText" dxfId="64" priority="9" operator="containsText" text="منتهي">
      <formula>NOT(ISERROR(SEARCH("منتهي",AG1)))</formula>
    </cfRule>
    <cfRule type="containsText" dxfId="63" priority="10" operator="containsText" text="ينتهي قريباً">
      <formula>NOT(ISERROR(SEARCH("ينتهي قريباً",AG1)))</formula>
    </cfRule>
    <cfRule type="containsText" dxfId="62" priority="11" operator="containsText" text="ساري">
      <formula>NOT(ISERROR(SEARCH("ساري",AG1)))</formula>
    </cfRule>
  </conditionalFormatting>
  <printOptions horizontalCentered="1"/>
  <pageMargins left="0.70866141732283461" right="0.70866141732283461" top="0.74803040244969377" bottom="0.74803040244969377" header="0.31496062992125984" footer="0.31496062992125984"/>
  <pageSetup paperSize="9" scale="18" orientation="landscape" r:id="rId1"/>
  <colBreaks count="3" manualBreakCount="3">
    <brk id="17" max="1048575" man="1"/>
    <brk id="21" max="1048575" man="1"/>
    <brk id="2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F58-D106-47F0-AD1A-342E0E243AF2}">
  <sheetPr codeName="Sheet10">
    <tabColor rgb="FF00B0F0"/>
  </sheetPr>
  <dimension ref="A1:U31"/>
  <sheetViews>
    <sheetView showGridLines="0" rightToLeft="1" topLeftCell="A6" zoomScale="82" zoomScaleNormal="82" workbookViewId="0">
      <selection activeCell="G21" sqref="G21"/>
    </sheetView>
  </sheetViews>
  <sheetFormatPr defaultColWidth="0" defaultRowHeight="14.15" customHeight="1" zeroHeight="1"/>
  <cols>
    <col min="1" max="16" width="9.08203125" customWidth="1"/>
    <col min="17" max="21" width="0" hidden="1" customWidth="1"/>
    <col min="22" max="16384" width="9.08203125" hidden="1"/>
  </cols>
  <sheetData>
    <row r="1" ht="14"/>
    <row r="2" ht="14"/>
    <row r="3" ht="14"/>
    <row r="4" ht="14"/>
    <row r="5" ht="14"/>
    <row r="6" ht="14"/>
    <row r="7" ht="14"/>
    <row r="8" ht="14"/>
    <row r="9" ht="14"/>
    <row r="10" ht="14"/>
    <row r="11" ht="14"/>
    <row r="12" ht="14"/>
    <row r="13" ht="14"/>
    <row r="14" ht="14"/>
    <row r="15" ht="14"/>
    <row r="16" ht="14"/>
    <row r="17" ht="14"/>
    <row r="18" ht="14"/>
    <row r="19" ht="14"/>
    <row r="20" ht="14.15" customHeight="1"/>
    <row r="21" ht="14.15" customHeight="1"/>
    <row r="22" ht="14.15" customHeight="1"/>
    <row r="23" ht="14.15" customHeight="1"/>
    <row r="24" ht="14.15" customHeight="1"/>
    <row r="25" ht="14.15" customHeight="1"/>
    <row r="26" ht="14.15" customHeight="1"/>
    <row r="27" ht="14.15" customHeight="1"/>
    <row r="28" ht="14.15" customHeight="1"/>
    <row r="29" ht="14.15" customHeight="1"/>
    <row r="30" ht="14.15" customHeight="1"/>
    <row r="31" ht="14.1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B2AF-D0B4-47B0-9BEB-859CA0AA3B49}">
  <sheetPr codeName="Sheet7"/>
  <dimension ref="A2:AF26"/>
  <sheetViews>
    <sheetView rightToLeft="1" topLeftCell="I17" workbookViewId="0">
      <selection activeCell="P27" sqref="P27"/>
    </sheetView>
  </sheetViews>
  <sheetFormatPr defaultRowHeight="14"/>
  <cols>
    <col min="1" max="1" width="8.4140625" bestFit="1" customWidth="1"/>
    <col min="2" max="2" width="8" bestFit="1" customWidth="1"/>
    <col min="3" max="3" width="8.33203125" bestFit="1" customWidth="1"/>
    <col min="4" max="4" width="26.33203125" bestFit="1" customWidth="1"/>
    <col min="5" max="5" width="10" bestFit="1" customWidth="1"/>
    <col min="6" max="6" width="13.33203125" bestFit="1" customWidth="1"/>
    <col min="7" max="7" width="7" bestFit="1" customWidth="1"/>
    <col min="8" max="8" width="13.08203125" bestFit="1" customWidth="1"/>
    <col min="9" max="9" width="12.33203125" bestFit="1" customWidth="1"/>
    <col min="10" max="10" width="13.6640625" bestFit="1" customWidth="1"/>
    <col min="11" max="11" width="11.58203125" bestFit="1" customWidth="1"/>
    <col min="12" max="12" width="23" bestFit="1" customWidth="1"/>
    <col min="13" max="14" width="17.9140625" bestFit="1" customWidth="1"/>
    <col min="15" max="15" width="18.9140625" bestFit="1" customWidth="1"/>
    <col min="16" max="16" width="22" bestFit="1" customWidth="1"/>
    <col min="17" max="17" width="24.33203125" customWidth="1"/>
    <col min="18" max="18" width="17.9140625" bestFit="1" customWidth="1"/>
    <col min="19" max="19" width="10" bestFit="1" customWidth="1"/>
    <col min="20" max="20" width="10.9140625" bestFit="1" customWidth="1"/>
    <col min="21" max="21" width="17.9140625" bestFit="1" customWidth="1"/>
    <col min="22" max="22" width="9.6640625" bestFit="1" customWidth="1"/>
    <col min="23" max="23" width="21.33203125" bestFit="1" customWidth="1"/>
    <col min="24" max="24" width="32.08203125" bestFit="1" customWidth="1"/>
    <col min="25" max="25" width="27.33203125" bestFit="1" customWidth="1"/>
    <col min="26" max="26" width="16.58203125" bestFit="1" customWidth="1"/>
    <col min="27" max="27" width="25.08203125" bestFit="1" customWidth="1"/>
  </cols>
  <sheetData>
    <row r="2" spans="1:28" ht="14.5" thickBot="1"/>
    <row r="3" spans="1:28" s="91" customFormat="1" ht="60" customHeight="1" thickBot="1">
      <c r="A3" s="80" t="s">
        <v>0</v>
      </c>
      <c r="B3" s="81" t="s">
        <v>1</v>
      </c>
      <c r="C3" s="82" t="s">
        <v>2</v>
      </c>
      <c r="D3" s="80" t="s">
        <v>256</v>
      </c>
      <c r="E3" s="81" t="s">
        <v>190</v>
      </c>
      <c r="F3" s="81" t="s">
        <v>346</v>
      </c>
      <c r="G3" s="81" t="s">
        <v>330</v>
      </c>
      <c r="H3" s="81" t="s">
        <v>280</v>
      </c>
      <c r="I3" s="83" t="s">
        <v>336</v>
      </c>
      <c r="J3" s="84" t="s">
        <v>233</v>
      </c>
      <c r="K3" s="85" t="s">
        <v>205</v>
      </c>
      <c r="L3" s="84" t="s">
        <v>258</v>
      </c>
      <c r="M3" s="86" t="s">
        <v>359</v>
      </c>
      <c r="N3" s="86" t="s">
        <v>204</v>
      </c>
      <c r="O3" s="87" t="s">
        <v>364</v>
      </c>
      <c r="P3" s="87" t="s">
        <v>365</v>
      </c>
      <c r="Q3" s="86" t="s">
        <v>273</v>
      </c>
      <c r="R3" s="87" t="s">
        <v>272</v>
      </c>
      <c r="S3" s="87" t="s">
        <v>271</v>
      </c>
      <c r="T3" s="87" t="s">
        <v>273</v>
      </c>
      <c r="U3" s="88" t="s">
        <v>270</v>
      </c>
      <c r="V3" s="89" t="s">
        <v>292</v>
      </c>
      <c r="W3" s="89" t="s">
        <v>334</v>
      </c>
      <c r="X3" s="89" t="s">
        <v>294</v>
      </c>
      <c r="Y3" s="89" t="s">
        <v>250</v>
      </c>
      <c r="Z3" s="89" t="s">
        <v>352</v>
      </c>
      <c r="AA3" s="90" t="s">
        <v>257</v>
      </c>
    </row>
    <row r="4" spans="1:28" s="68" customFormat="1" ht="20.149999999999999" customHeight="1">
      <c r="A4" s="66">
        <v>107</v>
      </c>
      <c r="B4" s="73" t="s">
        <v>329</v>
      </c>
      <c r="C4" s="74" t="s">
        <v>329</v>
      </c>
      <c r="D4" s="75" t="s">
        <v>328</v>
      </c>
      <c r="E4" s="75" t="s">
        <v>195</v>
      </c>
      <c r="F4" s="75" t="s">
        <v>391</v>
      </c>
      <c r="G4" s="75"/>
      <c r="H4" s="73" t="s">
        <v>367</v>
      </c>
      <c r="I4" s="76"/>
      <c r="J4" s="76" t="s">
        <v>234</v>
      </c>
      <c r="K4" s="76" t="s">
        <v>351</v>
      </c>
      <c r="L4" s="75"/>
      <c r="M4" s="77">
        <v>45498</v>
      </c>
      <c r="N4" s="77">
        <v>45613</v>
      </c>
      <c r="O4" s="73" t="s">
        <v>401</v>
      </c>
      <c r="P4" s="73" t="str">
        <f>IF($O4&lt;&gt;"",VLOOKUP($O4,{"شهر","30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4" s="77">
        <f t="shared" ref="Q4" si="0">DATE(YEAR(N4),MONTH(N4)+(P4/30),DAY(N4))</f>
        <v>45643</v>
      </c>
      <c r="R4" s="73">
        <v>1</v>
      </c>
      <c r="S4" s="73">
        <f t="shared" ref="S4" si="1">R4*12</f>
        <v>12</v>
      </c>
      <c r="T4" s="73">
        <v>45643</v>
      </c>
      <c r="U4" s="73">
        <f t="shared" ref="U4" ca="1" si="2">T4-TODAY()</f>
        <v>-505</v>
      </c>
      <c r="V4" s="78" t="s">
        <v>293</v>
      </c>
      <c r="W4" s="73"/>
      <c r="X4" s="68" t="s">
        <v>253</v>
      </c>
      <c r="Y4" s="68" t="s">
        <v>413</v>
      </c>
      <c r="AA4" s="68" t="str">
        <f t="shared" ref="AA4" ca="1" si="3">IF(TODAY()&gt;=T4,"انتهي العقد",IF(T4&lt;=TODAY()+29,"متبقي أقل من شهر",""))</f>
        <v>انتهي العقد</v>
      </c>
    </row>
    <row r="5" spans="1:28" s="68" customFormat="1" ht="20.149999999999999" customHeight="1">
      <c r="A5" s="66">
        <v>108</v>
      </c>
      <c r="B5" s="73" t="s">
        <v>329</v>
      </c>
      <c r="C5" s="74" t="s">
        <v>329</v>
      </c>
      <c r="D5" s="75" t="s">
        <v>350</v>
      </c>
      <c r="E5" s="75" t="s">
        <v>195</v>
      </c>
      <c r="F5" s="75" t="s">
        <v>393</v>
      </c>
      <c r="G5" s="75"/>
      <c r="H5" s="73" t="s">
        <v>367</v>
      </c>
      <c r="I5" s="76" t="s">
        <v>343</v>
      </c>
      <c r="J5" s="76" t="s">
        <v>234</v>
      </c>
      <c r="K5" s="76" t="s">
        <v>351</v>
      </c>
      <c r="L5" s="75"/>
      <c r="M5" s="77">
        <v>45413</v>
      </c>
      <c r="N5" s="77">
        <v>45597</v>
      </c>
      <c r="O5" s="73" t="s">
        <v>401</v>
      </c>
      <c r="P5" s="73" t="str">
        <f>IF($O5&lt;&gt;"",VLOOKUP($O5,{"شهر","30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5" s="77">
        <f t="shared" ref="Q5" si="4">DATE(YEAR(N5),MONTH(N5)+(P5/30),DAY(N5))</f>
        <v>45627</v>
      </c>
      <c r="R5" s="73">
        <v>1</v>
      </c>
      <c r="S5" s="73">
        <f t="shared" ref="S5" si="5">R5*12</f>
        <v>12</v>
      </c>
      <c r="T5" s="73">
        <v>45627</v>
      </c>
      <c r="U5" s="73">
        <f t="shared" ref="U5" ca="1" si="6">T5-TODAY()</f>
        <v>-521</v>
      </c>
      <c r="V5" s="78" t="s">
        <v>293</v>
      </c>
      <c r="W5" s="73"/>
      <c r="X5" s="68" t="s">
        <v>253</v>
      </c>
      <c r="Y5" s="68" t="s">
        <v>413</v>
      </c>
      <c r="AA5" s="68" t="str">
        <f t="shared" ref="AA5" ca="1" si="7">IF(TODAY()&gt;=T5,"انتهي العقد",IF(T5&lt;=TODAY()+29,"متبقي أقل من شهر",""))</f>
        <v>انتهي العقد</v>
      </c>
    </row>
    <row r="6" spans="1:28" s="68" customFormat="1" ht="20.149999999999999" customHeight="1">
      <c r="A6" s="66">
        <v>110</v>
      </c>
      <c r="B6" s="73" t="s">
        <v>329</v>
      </c>
      <c r="C6" s="74" t="s">
        <v>329</v>
      </c>
      <c r="D6" s="75" t="s">
        <v>360</v>
      </c>
      <c r="E6" s="75" t="s">
        <v>195</v>
      </c>
      <c r="F6" s="75" t="s">
        <v>393</v>
      </c>
      <c r="G6" s="75"/>
      <c r="H6" s="73" t="s">
        <v>368</v>
      </c>
      <c r="I6" s="76" t="s">
        <v>345</v>
      </c>
      <c r="J6" s="76" t="s">
        <v>236</v>
      </c>
      <c r="K6" s="76" t="s">
        <v>351</v>
      </c>
      <c r="L6" s="75"/>
      <c r="M6" s="77">
        <v>45564</v>
      </c>
      <c r="N6" s="77">
        <v>45564</v>
      </c>
      <c r="O6" s="73">
        <v>1</v>
      </c>
      <c r="P6" s="73">
        <f>O6*12</f>
        <v>12</v>
      </c>
      <c r="Q6" s="77">
        <v>45625</v>
      </c>
      <c r="R6" s="73">
        <f ca="1">Q6-TODAY()</f>
        <v>-523</v>
      </c>
      <c r="S6" s="73" t="s">
        <v>293</v>
      </c>
      <c r="T6" s="73"/>
      <c r="U6" s="73" t="s">
        <v>253</v>
      </c>
      <c r="V6" s="78" t="s">
        <v>412</v>
      </c>
      <c r="W6" s="73"/>
      <c r="X6" s="68" t="str">
        <f ca="1">IF(TODAY()&gt;=Q6,"انتهي العقد",IF(Q6&lt;=TODAY()+29,"متبقي أقل من شهر",""))</f>
        <v>انتهي العقد</v>
      </c>
    </row>
    <row r="7" spans="1:28" s="68" customFormat="1" ht="20.149999999999999" customHeight="1">
      <c r="A7" s="66">
        <v>87</v>
      </c>
      <c r="B7" s="73" t="s">
        <v>6</v>
      </c>
      <c r="C7" s="74" t="s">
        <v>6</v>
      </c>
      <c r="D7" s="75" t="s">
        <v>246</v>
      </c>
      <c r="E7" s="75" t="s">
        <v>195</v>
      </c>
      <c r="F7" s="75"/>
      <c r="G7" s="75"/>
      <c r="H7" s="73" t="s">
        <v>367</v>
      </c>
      <c r="I7" s="76"/>
      <c r="J7" s="76" t="s">
        <v>234</v>
      </c>
      <c r="K7" s="76" t="s">
        <v>208</v>
      </c>
      <c r="L7" s="75"/>
      <c r="M7" s="77">
        <v>45222</v>
      </c>
      <c r="N7" s="77">
        <v>45609</v>
      </c>
      <c r="O7" s="73">
        <v>1</v>
      </c>
      <c r="P7" s="73">
        <f t="shared" ref="P7:P13" si="8">O7*12</f>
        <v>12</v>
      </c>
      <c r="Q7" s="77">
        <f t="shared" ref="Q7" si="9">EDATE(N7,P7)</f>
        <v>45974</v>
      </c>
      <c r="R7" s="73">
        <f t="shared" ref="R7:R13" ca="1" si="10">Q7-TODAY()</f>
        <v>-174</v>
      </c>
      <c r="S7" s="73" t="s">
        <v>296</v>
      </c>
      <c r="T7" s="73"/>
      <c r="U7" s="73" t="s">
        <v>252</v>
      </c>
      <c r="V7" s="78" t="s">
        <v>413</v>
      </c>
      <c r="W7" s="73"/>
      <c r="X7" s="68" t="str">
        <f t="shared" ref="X7:X10" ca="1" si="11">IF(TODAY()&gt;=Q7,"انتهي العقد",IF(Q7&lt;=TODAY()+29,"متبقي أقل من شهر",""))</f>
        <v>انتهي العقد</v>
      </c>
    </row>
    <row r="8" spans="1:28" s="68" customFormat="1" ht="20.149999999999999" customHeight="1">
      <c r="A8" s="66">
        <v>106</v>
      </c>
      <c r="B8" s="73" t="s">
        <v>329</v>
      </c>
      <c r="C8" s="74" t="s">
        <v>329</v>
      </c>
      <c r="D8" s="75" t="s">
        <v>355</v>
      </c>
      <c r="E8" s="75" t="s">
        <v>195</v>
      </c>
      <c r="F8" s="75" t="s">
        <v>393</v>
      </c>
      <c r="G8" s="75"/>
      <c r="H8" s="73" t="s">
        <v>367</v>
      </c>
      <c r="I8" s="76" t="s">
        <v>378</v>
      </c>
      <c r="J8" s="76" t="s">
        <v>234</v>
      </c>
      <c r="K8" s="76" t="s">
        <v>351</v>
      </c>
      <c r="L8" s="75"/>
      <c r="M8" s="77">
        <v>45512</v>
      </c>
      <c r="N8" s="77">
        <v>45604</v>
      </c>
      <c r="O8" s="73">
        <v>1</v>
      </c>
      <c r="P8" s="73">
        <f t="shared" si="8"/>
        <v>12</v>
      </c>
      <c r="Q8" s="77">
        <v>45696</v>
      </c>
      <c r="R8" s="73">
        <f t="shared" ca="1" si="10"/>
        <v>-452</v>
      </c>
      <c r="S8" s="73" t="s">
        <v>293</v>
      </c>
      <c r="T8" s="73"/>
      <c r="U8" s="73" t="s">
        <v>253</v>
      </c>
      <c r="V8" s="78" t="s">
        <v>413</v>
      </c>
      <c r="W8" s="73"/>
      <c r="X8" s="68" t="str">
        <f t="shared" ca="1" si="11"/>
        <v>انتهي العقد</v>
      </c>
    </row>
    <row r="9" spans="1:28" s="68" customFormat="1" ht="20.149999999999999" customHeight="1">
      <c r="A9" s="66">
        <v>19</v>
      </c>
      <c r="B9" s="73" t="s">
        <v>3</v>
      </c>
      <c r="C9" s="74" t="s">
        <v>20</v>
      </c>
      <c r="D9" s="75" t="s">
        <v>397</v>
      </c>
      <c r="E9" s="75" t="s">
        <v>195</v>
      </c>
      <c r="F9" s="75"/>
      <c r="G9" s="75"/>
      <c r="H9" s="73" t="s">
        <v>367</v>
      </c>
      <c r="I9" s="76"/>
      <c r="J9" s="76" t="s">
        <v>234</v>
      </c>
      <c r="K9" s="76" t="s">
        <v>206</v>
      </c>
      <c r="L9" s="75" t="s">
        <v>268</v>
      </c>
      <c r="M9" s="77">
        <v>44976</v>
      </c>
      <c r="N9" s="77">
        <v>45643</v>
      </c>
      <c r="O9" s="73">
        <v>4</v>
      </c>
      <c r="P9" s="73">
        <f t="shared" si="8"/>
        <v>48</v>
      </c>
      <c r="Q9" s="77">
        <f t="shared" ref="Q9" si="12">EDATE(N9,P9)</f>
        <v>47104</v>
      </c>
      <c r="R9" s="73">
        <f t="shared" ca="1" si="10"/>
        <v>956</v>
      </c>
      <c r="S9" s="73" t="s">
        <v>296</v>
      </c>
      <c r="T9" s="73"/>
      <c r="U9" s="73" t="s">
        <v>252</v>
      </c>
      <c r="V9" s="78" t="s">
        <v>412</v>
      </c>
      <c r="W9" s="73"/>
      <c r="X9" s="68" t="str">
        <f t="shared" ca="1" si="11"/>
        <v/>
      </c>
    </row>
    <row r="10" spans="1:28" s="68" customFormat="1" ht="20.149999999999999" customHeight="1">
      <c r="A10" s="66">
        <v>107</v>
      </c>
      <c r="B10" s="73" t="s">
        <v>329</v>
      </c>
      <c r="C10" s="74" t="s">
        <v>329</v>
      </c>
      <c r="D10" s="75" t="s">
        <v>405</v>
      </c>
      <c r="E10" s="75" t="s">
        <v>195</v>
      </c>
      <c r="F10" s="75"/>
      <c r="G10" s="75"/>
      <c r="H10" s="73" t="s">
        <v>367</v>
      </c>
      <c r="I10" s="76"/>
      <c r="J10" s="76" t="s">
        <v>234</v>
      </c>
      <c r="K10" s="76" t="s">
        <v>351</v>
      </c>
      <c r="L10" s="75"/>
      <c r="M10" s="77">
        <v>45629</v>
      </c>
      <c r="N10" s="77">
        <v>45629</v>
      </c>
      <c r="O10" s="73">
        <v>1</v>
      </c>
      <c r="P10" s="73">
        <f t="shared" si="8"/>
        <v>12</v>
      </c>
      <c r="Q10" s="77">
        <v>45718</v>
      </c>
      <c r="R10" s="73">
        <f t="shared" ca="1" si="10"/>
        <v>-430</v>
      </c>
      <c r="S10" s="73" t="s">
        <v>293</v>
      </c>
      <c r="T10" s="73"/>
      <c r="U10" s="73" t="s">
        <v>253</v>
      </c>
      <c r="V10" s="78" t="s">
        <v>413</v>
      </c>
      <c r="W10" s="73"/>
      <c r="X10" s="68" t="str">
        <f t="shared" ca="1" si="11"/>
        <v>انتهي العقد</v>
      </c>
    </row>
    <row r="11" spans="1:28" s="68" customFormat="1" ht="20.149999999999999" customHeight="1">
      <c r="A11" s="66">
        <v>109</v>
      </c>
      <c r="B11" s="73" t="s">
        <v>329</v>
      </c>
      <c r="C11" s="74" t="s">
        <v>329</v>
      </c>
      <c r="D11" s="75" t="s">
        <v>418</v>
      </c>
      <c r="E11" s="75" t="s">
        <v>195</v>
      </c>
      <c r="F11" s="75"/>
      <c r="G11" s="75"/>
      <c r="H11" s="73" t="s">
        <v>367</v>
      </c>
      <c r="I11" s="76"/>
      <c r="J11" s="76" t="s">
        <v>234</v>
      </c>
      <c r="K11" s="76" t="s">
        <v>351</v>
      </c>
      <c r="L11" s="75"/>
      <c r="M11" s="77">
        <v>45671</v>
      </c>
      <c r="N11" s="77">
        <v>45671</v>
      </c>
      <c r="O11" s="73">
        <v>1</v>
      </c>
      <c r="P11" s="73">
        <f t="shared" si="8"/>
        <v>12</v>
      </c>
      <c r="Q11" s="77">
        <v>45759</v>
      </c>
      <c r="R11" s="73">
        <f t="shared" ca="1" si="10"/>
        <v>-389</v>
      </c>
      <c r="S11" s="73" t="s">
        <v>293</v>
      </c>
      <c r="T11" s="73" t="s">
        <v>253</v>
      </c>
      <c r="U11" s="73" t="s">
        <v>413</v>
      </c>
      <c r="V11" s="78"/>
      <c r="W11" s="73" t="s">
        <v>426</v>
      </c>
    </row>
    <row r="12" spans="1:28" s="68" customFormat="1" ht="20.149999999999999" customHeight="1">
      <c r="A12" s="66">
        <v>119</v>
      </c>
      <c r="B12" s="73" t="s">
        <v>329</v>
      </c>
      <c r="C12" s="74" t="s">
        <v>329</v>
      </c>
      <c r="D12" s="75" t="s">
        <v>470</v>
      </c>
      <c r="E12" s="75" t="s">
        <v>195</v>
      </c>
      <c r="F12" s="75"/>
      <c r="G12" s="75"/>
      <c r="H12" s="73" t="s">
        <v>367</v>
      </c>
      <c r="I12" s="73"/>
      <c r="J12" s="76"/>
      <c r="K12" s="76" t="s">
        <v>234</v>
      </c>
      <c r="L12" s="76" t="s">
        <v>351</v>
      </c>
      <c r="M12" s="75"/>
      <c r="N12" s="77">
        <v>45789</v>
      </c>
      <c r="O12" s="77">
        <v>45789</v>
      </c>
      <c r="P12" s="73">
        <v>1</v>
      </c>
      <c r="Q12" s="73">
        <f t="shared" ref="Q12" si="13">P12*12</f>
        <v>12</v>
      </c>
      <c r="R12" s="77">
        <v>45882</v>
      </c>
      <c r="S12" s="73">
        <f t="shared" ref="S12" ca="1" si="14">R12-TODAY()</f>
        <v>-266</v>
      </c>
      <c r="T12" s="73" t="s">
        <v>293</v>
      </c>
      <c r="U12" s="73" t="s">
        <v>253</v>
      </c>
      <c r="V12" s="73" t="s">
        <v>413</v>
      </c>
      <c r="W12" s="78"/>
      <c r="X12" s="93" t="str">
        <f t="shared" ref="X12" ca="1" si="15">IF(R12&lt;TODAY(),"منتهي",IF(R12-TODAY()&gt;=30,"ساري","ينتهي قريباً"))</f>
        <v>منتهي</v>
      </c>
      <c r="Y12" s="73"/>
      <c r="AA12" s="73" t="s">
        <v>455</v>
      </c>
    </row>
    <row r="13" spans="1:28" s="68" customFormat="1" ht="20.149999999999999" customHeight="1">
      <c r="A13" s="66">
        <v>101</v>
      </c>
      <c r="B13" s="73" t="s">
        <v>6</v>
      </c>
      <c r="C13" s="74" t="s">
        <v>6</v>
      </c>
      <c r="D13" s="75" t="s">
        <v>372</v>
      </c>
      <c r="E13" s="75" t="s">
        <v>195</v>
      </c>
      <c r="F13" s="75" t="s">
        <v>393</v>
      </c>
      <c r="G13" s="75"/>
      <c r="H13" s="73" t="s">
        <v>367</v>
      </c>
      <c r="I13" s="76" t="s">
        <v>344</v>
      </c>
      <c r="J13" s="76" t="s">
        <v>235</v>
      </c>
      <c r="K13" s="76" t="s">
        <v>208</v>
      </c>
      <c r="L13" s="75"/>
      <c r="M13" s="77">
        <v>45582</v>
      </c>
      <c r="N13" s="77">
        <v>45582</v>
      </c>
      <c r="O13" s="73">
        <v>1</v>
      </c>
      <c r="P13" s="73">
        <f t="shared" si="8"/>
        <v>12</v>
      </c>
      <c r="Q13" s="77">
        <f t="shared" ref="Q13" si="16">EDATE(N13,P13)</f>
        <v>45947</v>
      </c>
      <c r="R13" s="73">
        <f t="shared" ca="1" si="10"/>
        <v>-201</v>
      </c>
      <c r="S13" s="73" t="s">
        <v>293</v>
      </c>
      <c r="T13" s="73" t="s">
        <v>253</v>
      </c>
      <c r="U13" s="73" t="s">
        <v>412</v>
      </c>
      <c r="V13" s="78"/>
      <c r="W13" s="73" t="s">
        <v>427</v>
      </c>
    </row>
    <row r="14" spans="1:28" s="68" customFormat="1" ht="20.149999999999999" customHeight="1">
      <c r="A14" s="92">
        <v>114</v>
      </c>
      <c r="B14" s="69" t="s">
        <v>329</v>
      </c>
      <c r="C14" s="69" t="s">
        <v>329</v>
      </c>
      <c r="D14" s="70" t="s">
        <v>402</v>
      </c>
      <c r="E14" s="70" t="s">
        <v>195</v>
      </c>
      <c r="F14" s="75"/>
      <c r="G14" s="75"/>
      <c r="H14" s="69" t="s">
        <v>367</v>
      </c>
      <c r="I14" s="69"/>
      <c r="J14" s="76"/>
      <c r="K14" s="71" t="s">
        <v>234</v>
      </c>
      <c r="L14" s="71" t="s">
        <v>351</v>
      </c>
      <c r="M14" s="70"/>
      <c r="N14" s="72">
        <v>45615</v>
      </c>
      <c r="O14" s="72">
        <v>45707</v>
      </c>
      <c r="P14" s="69">
        <v>1</v>
      </c>
      <c r="Q14" s="69">
        <f>P14*12</f>
        <v>12</v>
      </c>
      <c r="R14" s="72">
        <v>45795</v>
      </c>
      <c r="S14" s="69">
        <f ca="1">R14-TODAY()</f>
        <v>-353</v>
      </c>
      <c r="T14" s="69" t="s">
        <v>293</v>
      </c>
      <c r="U14" s="69" t="s">
        <v>253</v>
      </c>
      <c r="V14" s="69" t="s">
        <v>413</v>
      </c>
      <c r="W14" s="79"/>
      <c r="X14" s="93" t="str">
        <f ca="1">IF(R14&lt;TODAY(),"منتهي",IF(R14-TODAY()&gt;=30,"ساري","ينتهي قريباً"))</f>
        <v>منتهي</v>
      </c>
    </row>
    <row r="15" spans="1:28" s="68" customFormat="1" ht="20.149999999999999" customHeight="1">
      <c r="A15" s="105">
        <f>_xlfn.AGGREGATE(3,5, $A$2:A14)</f>
        <v>12</v>
      </c>
      <c r="B15" s="73" t="s">
        <v>329</v>
      </c>
      <c r="C15" s="73" t="s">
        <v>329</v>
      </c>
      <c r="D15" s="75" t="s">
        <v>415</v>
      </c>
      <c r="E15" s="75" t="s">
        <v>195</v>
      </c>
      <c r="F15" s="75"/>
      <c r="G15" s="75"/>
      <c r="H15" s="73" t="s">
        <v>367</v>
      </c>
      <c r="I15" s="73" t="s">
        <v>329</v>
      </c>
      <c r="J15" s="76"/>
      <c r="K15" s="99" t="s">
        <v>234</v>
      </c>
      <c r="L15" s="76" t="s">
        <v>351</v>
      </c>
      <c r="M15" s="75"/>
      <c r="N15" s="77">
        <v>45652</v>
      </c>
      <c r="O15" s="77">
        <v>45742</v>
      </c>
      <c r="P15" s="73">
        <v>1</v>
      </c>
      <c r="Q15" s="73">
        <f t="shared" ref="Q15:Q16" si="17">P15*12</f>
        <v>12</v>
      </c>
      <c r="R15" s="77">
        <v>45834</v>
      </c>
      <c r="S15" s="73">
        <f t="shared" ref="S15:S16" ca="1" si="18">R15-TODAY()</f>
        <v>-314</v>
      </c>
      <c r="T15" s="73"/>
      <c r="U15" s="73" t="s">
        <v>293</v>
      </c>
      <c r="V15" s="73" t="s">
        <v>253</v>
      </c>
      <c r="W15" s="73" t="s">
        <v>413</v>
      </c>
      <c r="X15" s="78"/>
      <c r="Y15" s="93" t="str">
        <f t="shared" ref="Y15:Y16" ca="1" si="19">IF(R15&lt;TODAY(),"منتهي",IF(R15-TODAY()&gt;=30,"ساري","ينتهي قريباً"))</f>
        <v>منتهي</v>
      </c>
    </row>
    <row r="16" spans="1:28" s="68" customFormat="1" ht="20.149999999999999" customHeight="1">
      <c r="A16" s="105">
        <f>_xlfn.AGGREGATE(3,5, $A$2:A15)</f>
        <v>13</v>
      </c>
      <c r="B16" s="73" t="s">
        <v>329</v>
      </c>
      <c r="C16" s="74" t="s">
        <v>329</v>
      </c>
      <c r="D16" s="75" t="s">
        <v>469</v>
      </c>
      <c r="E16" s="75" t="s">
        <v>198</v>
      </c>
      <c r="F16" s="75"/>
      <c r="G16" s="75"/>
      <c r="H16" s="73" t="s">
        <v>368</v>
      </c>
      <c r="I16" s="73" t="s">
        <v>329</v>
      </c>
      <c r="J16" s="76"/>
      <c r="K16" s="76" t="s">
        <v>234</v>
      </c>
      <c r="L16" s="76" t="s">
        <v>351</v>
      </c>
      <c r="M16" s="75"/>
      <c r="N16" s="77">
        <v>45789</v>
      </c>
      <c r="O16" s="77">
        <v>45789</v>
      </c>
      <c r="P16" s="73">
        <v>1</v>
      </c>
      <c r="Q16" s="73">
        <f t="shared" si="17"/>
        <v>12</v>
      </c>
      <c r="R16" s="77">
        <v>45880</v>
      </c>
      <c r="S16" s="73">
        <f t="shared" ca="1" si="18"/>
        <v>-268</v>
      </c>
      <c r="T16" s="73"/>
      <c r="U16" s="73" t="s">
        <v>293</v>
      </c>
      <c r="V16" s="73" t="s">
        <v>253</v>
      </c>
      <c r="W16" s="73" t="s">
        <v>413</v>
      </c>
      <c r="X16" s="108">
        <v>45847</v>
      </c>
      <c r="Y16" s="93" t="str">
        <f t="shared" ca="1" si="19"/>
        <v>منتهي</v>
      </c>
      <c r="Z16" s="73"/>
      <c r="AB16" s="73" t="s">
        <v>455</v>
      </c>
    </row>
    <row r="17" spans="1:32" s="67" customFormat="1" ht="20.149999999999999" customHeight="1">
      <c r="A17" s="105">
        <f>_xlfn.AGGREGATE(3,5, $A$2:A16)</f>
        <v>14</v>
      </c>
      <c r="B17" s="75" t="s">
        <v>6</v>
      </c>
      <c r="C17" s="109" t="s">
        <v>6</v>
      </c>
      <c r="D17" s="98" t="s">
        <v>247</v>
      </c>
      <c r="E17" s="98" t="s">
        <v>195</v>
      </c>
      <c r="F17" s="98" t="s">
        <v>394</v>
      </c>
      <c r="G17" s="98"/>
      <c r="H17" s="98"/>
      <c r="I17" s="98" t="s">
        <v>454</v>
      </c>
      <c r="J17" s="97" t="s">
        <v>367</v>
      </c>
      <c r="K17" s="73" t="s">
        <v>6</v>
      </c>
      <c r="L17" s="99" t="s">
        <v>341</v>
      </c>
      <c r="M17" s="99" t="s">
        <v>234</v>
      </c>
      <c r="N17" s="99" t="s">
        <v>208</v>
      </c>
      <c r="O17" s="98"/>
      <c r="P17" s="100">
        <v>45242</v>
      </c>
      <c r="Q17" s="100">
        <v>45608</v>
      </c>
      <c r="R17" s="97">
        <v>1</v>
      </c>
      <c r="S17" s="97">
        <f t="shared" ref="S17:S18" si="20">R17*12</f>
        <v>12</v>
      </c>
      <c r="T17" s="100">
        <f t="shared" ref="T17:T18" si="21">EDATE(Q17,S17)</f>
        <v>45973</v>
      </c>
      <c r="U17" s="97">
        <f t="shared" ref="U17:U18" ca="1" si="22">T17-TODAY()</f>
        <v>-175</v>
      </c>
      <c r="V17" s="97"/>
      <c r="W17" s="73" t="s">
        <v>295</v>
      </c>
      <c r="X17" s="111">
        <v>45823</v>
      </c>
      <c r="Y17" s="97" t="s">
        <v>413</v>
      </c>
      <c r="Z17" s="101"/>
      <c r="AA17" s="93" t="str">
        <f t="shared" ref="AA17:AA18" ca="1" si="23">IF(T17&lt;TODAY(),"منتهي",IF(T17-TODAY()&gt;=30,"ساري","ينتهي قريباً"))</f>
        <v>منتهي</v>
      </c>
    </row>
    <row r="18" spans="1:32" s="68" customFormat="1" ht="20.149999999999999" customHeight="1">
      <c r="A18" s="105">
        <f>_xlfn.AGGREGATE(3,5, $A$2:A17)</f>
        <v>15</v>
      </c>
      <c r="B18" s="75" t="s">
        <v>6</v>
      </c>
      <c r="C18" s="75" t="s">
        <v>6</v>
      </c>
      <c r="D18" s="75" t="s">
        <v>362</v>
      </c>
      <c r="E18" s="75" t="s">
        <v>195</v>
      </c>
      <c r="F18" s="75" t="s">
        <v>393</v>
      </c>
      <c r="G18" s="75"/>
      <c r="H18" s="75"/>
      <c r="I18" s="75" t="s">
        <v>448</v>
      </c>
      <c r="J18" s="73" t="s">
        <v>368</v>
      </c>
      <c r="K18" s="73" t="s">
        <v>6</v>
      </c>
      <c r="L18" s="76" t="s">
        <v>342</v>
      </c>
      <c r="M18" s="76" t="s">
        <v>234</v>
      </c>
      <c r="N18" s="76" t="s">
        <v>208</v>
      </c>
      <c r="O18" s="75"/>
      <c r="P18" s="77">
        <v>45553</v>
      </c>
      <c r="Q18" s="77">
        <v>45553</v>
      </c>
      <c r="R18" s="73">
        <v>1</v>
      </c>
      <c r="S18" s="73">
        <f t="shared" si="20"/>
        <v>12</v>
      </c>
      <c r="T18" s="77">
        <f t="shared" si="21"/>
        <v>45918</v>
      </c>
      <c r="U18" s="73">
        <f t="shared" ca="1" si="22"/>
        <v>-230</v>
      </c>
      <c r="V18" s="73"/>
      <c r="W18" s="73" t="s">
        <v>293</v>
      </c>
      <c r="X18" s="73" t="s">
        <v>253</v>
      </c>
      <c r="Y18" s="73" t="s">
        <v>413</v>
      </c>
      <c r="Z18" s="78"/>
      <c r="AA18" s="93" t="str">
        <f t="shared" ca="1" si="23"/>
        <v>منتهي</v>
      </c>
    </row>
    <row r="19" spans="1:32" s="68" customFormat="1" ht="20.149999999999999" customHeight="1">
      <c r="A19" s="105">
        <f>_xlfn.AGGREGATE(3,5, $A$2:A18)</f>
        <v>16</v>
      </c>
      <c r="B19" s="75" t="s">
        <v>329</v>
      </c>
      <c r="C19" s="110" t="s">
        <v>329</v>
      </c>
      <c r="D19" s="75" t="s">
        <v>468</v>
      </c>
      <c r="E19" s="75" t="s">
        <v>195</v>
      </c>
      <c r="F19" s="75"/>
      <c r="G19" s="75"/>
      <c r="H19" s="75"/>
      <c r="I19" s="75"/>
      <c r="J19" s="73" t="s">
        <v>367</v>
      </c>
      <c r="K19" s="73" t="s">
        <v>329</v>
      </c>
      <c r="L19" s="76"/>
      <c r="M19" s="76" t="s">
        <v>241</v>
      </c>
      <c r="N19" s="76" t="s">
        <v>351</v>
      </c>
      <c r="O19" s="75"/>
      <c r="P19" s="77">
        <v>45789</v>
      </c>
      <c r="Q19" s="96">
        <f t="shared" ref="Q19" si="24">EDATE(P19, 24)</f>
        <v>46519</v>
      </c>
      <c r="R19" s="77">
        <v>45789</v>
      </c>
      <c r="S19" s="73">
        <v>1</v>
      </c>
      <c r="T19" s="73">
        <f t="shared" ref="T19" si="25">S19*12</f>
        <v>12</v>
      </c>
      <c r="U19" s="77">
        <v>45882</v>
      </c>
      <c r="V19" s="73">
        <f t="shared" ref="V19:V23" ca="1" si="26">U19-TODAY()</f>
        <v>-266</v>
      </c>
      <c r="W19" s="93">
        <f t="shared" ref="W19" ca="1" si="27">DATEDIF(P19, TODAY(), "Y")</f>
        <v>0</v>
      </c>
      <c r="X19" s="73" t="s">
        <v>293</v>
      </c>
      <c r="Y19" s="73" t="s">
        <v>253</v>
      </c>
      <c r="Z19" s="73" t="s">
        <v>413</v>
      </c>
      <c r="AA19" s="78"/>
      <c r="AB19" s="93" t="str">
        <f t="shared" ref="AB19:AB21" ca="1" si="28">IF(U19&lt;TODAY(),"منتهي",IF(U19-TODAY()&gt;=30,"ساري","ينتهي قريباً"))</f>
        <v>منتهي</v>
      </c>
      <c r="AC19" s="73"/>
      <c r="AE19" s="73" t="s">
        <v>455</v>
      </c>
    </row>
    <row r="20" spans="1:32" s="67" customFormat="1" ht="20.149999999999999" customHeight="1">
      <c r="A20" s="105">
        <f>_xlfn.AGGREGATE(3,5, $A$2:A19)</f>
        <v>17</v>
      </c>
      <c r="B20" s="94" t="s">
        <v>3</v>
      </c>
      <c r="C20" s="114" t="s">
        <v>4</v>
      </c>
      <c r="D20" s="113" t="s">
        <v>5</v>
      </c>
      <c r="E20" s="113" t="s">
        <v>191</v>
      </c>
      <c r="F20" s="94"/>
      <c r="G20" s="94" t="s">
        <v>485</v>
      </c>
      <c r="H20" s="94"/>
      <c r="I20" s="94"/>
      <c r="J20" s="93" t="s">
        <v>367</v>
      </c>
      <c r="K20" s="93" t="s">
        <v>478</v>
      </c>
      <c r="L20" s="95"/>
      <c r="M20" s="95" t="s">
        <v>234</v>
      </c>
      <c r="N20" s="95" t="s">
        <v>206</v>
      </c>
      <c r="O20" s="94" t="s">
        <v>267</v>
      </c>
      <c r="P20" s="96">
        <v>44346</v>
      </c>
      <c r="Q20" s="96">
        <f>EDATE(P20, 24)</f>
        <v>45076</v>
      </c>
      <c r="R20" s="96">
        <v>45643</v>
      </c>
      <c r="S20" s="93">
        <v>4</v>
      </c>
      <c r="T20" s="93">
        <f>S20*12</f>
        <v>48</v>
      </c>
      <c r="U20" s="96">
        <f>EDATE(R20,T20)</f>
        <v>47104</v>
      </c>
      <c r="V20" s="93">
        <f t="shared" ca="1" si="26"/>
        <v>956</v>
      </c>
      <c r="W20" s="93" t="s">
        <v>505</v>
      </c>
      <c r="X20" s="93" t="s">
        <v>422</v>
      </c>
      <c r="Y20" s="93" t="s">
        <v>252</v>
      </c>
      <c r="Z20" s="93" t="s">
        <v>413</v>
      </c>
      <c r="AA20" s="93"/>
      <c r="AB20" s="93" t="str">
        <f t="shared" ca="1" si="28"/>
        <v>ساري</v>
      </c>
      <c r="AC20" s="103"/>
    </row>
    <row r="21" spans="1:32" s="67" customFormat="1" ht="20.149999999999999" customHeight="1">
      <c r="A21" s="105">
        <f>_xlfn.AGGREGATE(3,5, $A$2:A20)</f>
        <v>18</v>
      </c>
      <c r="B21" s="112" t="s">
        <v>50</v>
      </c>
      <c r="C21" s="115" t="s">
        <v>81</v>
      </c>
      <c r="D21" s="112" t="s">
        <v>103</v>
      </c>
      <c r="E21" s="112" t="s">
        <v>197</v>
      </c>
      <c r="F21" s="112" t="s">
        <v>389</v>
      </c>
      <c r="G21" s="112" t="s">
        <v>492</v>
      </c>
      <c r="H21" s="112"/>
      <c r="I21" s="112"/>
      <c r="J21" s="66" t="s">
        <v>367</v>
      </c>
      <c r="K21" s="66" t="s">
        <v>461</v>
      </c>
      <c r="L21" s="116"/>
      <c r="M21" s="116" t="s">
        <v>234</v>
      </c>
      <c r="N21" s="116" t="s">
        <v>206</v>
      </c>
      <c r="O21" s="112" t="s">
        <v>260</v>
      </c>
      <c r="P21" s="117">
        <v>44934</v>
      </c>
      <c r="Q21" s="118">
        <f t="shared" ref="Q21:Q23" si="29">EDATE(P21, 24)</f>
        <v>45665</v>
      </c>
      <c r="R21" s="117">
        <v>45643</v>
      </c>
      <c r="S21" s="66">
        <v>4</v>
      </c>
      <c r="T21" s="66">
        <f t="shared" ref="T21:T23" si="30">S21*12</f>
        <v>48</v>
      </c>
      <c r="U21" s="117">
        <f t="shared" ref="U21:U22" si="31">EDATE(R21,T21)</f>
        <v>47104</v>
      </c>
      <c r="V21" s="66">
        <f t="shared" ca="1" si="26"/>
        <v>956</v>
      </c>
      <c r="W21" s="92">
        <f t="shared" ref="W21:W23" ca="1" si="32">DATEDIF(P21, TODAY(), "Y")</f>
        <v>3</v>
      </c>
      <c r="X21" s="66" t="s">
        <v>296</v>
      </c>
      <c r="Y21" s="66" t="s">
        <v>252</v>
      </c>
      <c r="Z21" s="66" t="s">
        <v>413</v>
      </c>
      <c r="AA21" s="66"/>
      <c r="AB21" s="92" t="str">
        <f t="shared" ca="1" si="28"/>
        <v>ساري</v>
      </c>
    </row>
    <row r="22" spans="1:32" s="68" customFormat="1" ht="20.149999999999999" customHeight="1">
      <c r="A22" s="105">
        <v>106</v>
      </c>
      <c r="B22" s="112" t="s">
        <v>6</v>
      </c>
      <c r="C22" s="112" t="s">
        <v>6</v>
      </c>
      <c r="D22" s="112" t="s">
        <v>472</v>
      </c>
      <c r="E22" s="112" t="s">
        <v>195</v>
      </c>
      <c r="F22" s="112"/>
      <c r="G22" s="112"/>
      <c r="H22" s="112"/>
      <c r="I22" s="112"/>
      <c r="J22" s="66" t="s">
        <v>367</v>
      </c>
      <c r="K22" s="66" t="s">
        <v>6</v>
      </c>
      <c r="L22" s="116"/>
      <c r="M22" s="116" t="s">
        <v>429</v>
      </c>
      <c r="N22" s="116" t="s">
        <v>208</v>
      </c>
      <c r="O22" s="112"/>
      <c r="P22" s="117">
        <v>45791</v>
      </c>
      <c r="Q22" s="117">
        <f t="shared" si="29"/>
        <v>46521</v>
      </c>
      <c r="R22" s="117">
        <v>45791</v>
      </c>
      <c r="S22" s="66">
        <v>1</v>
      </c>
      <c r="T22" s="66">
        <f t="shared" si="30"/>
        <v>12</v>
      </c>
      <c r="U22" s="117">
        <f t="shared" si="31"/>
        <v>46156</v>
      </c>
      <c r="V22" s="66">
        <f t="shared" ca="1" si="26"/>
        <v>8</v>
      </c>
      <c r="W22" s="66">
        <f t="shared" ca="1" si="32"/>
        <v>0</v>
      </c>
      <c r="X22" s="66" t="s">
        <v>293</v>
      </c>
      <c r="Y22" s="66" t="s">
        <v>253</v>
      </c>
      <c r="Z22" s="66" t="s">
        <v>429</v>
      </c>
      <c r="AA22" s="121">
        <v>45850</v>
      </c>
      <c r="AB22" s="66"/>
      <c r="AC22" s="119"/>
      <c r="AD22" s="66" t="str">
        <f t="shared" ref="AD22:AD23" ca="1" si="33">IF(U22&lt;TODAY(),"منتهي",IF(U22-TODAY()&gt;=30,"ساري","ينتهي قريباً"))</f>
        <v>ينتهي قريباً</v>
      </c>
      <c r="AE22" s="120"/>
    </row>
    <row r="23" spans="1:32" s="68" customFormat="1" ht="20.149999999999999" customHeight="1">
      <c r="A23" s="105">
        <v>119</v>
      </c>
      <c r="B23" s="112" t="s">
        <v>329</v>
      </c>
      <c r="C23" s="115" t="s">
        <v>329</v>
      </c>
      <c r="D23" s="112" t="s">
        <v>503</v>
      </c>
      <c r="E23" s="112" t="s">
        <v>195</v>
      </c>
      <c r="F23" s="112"/>
      <c r="G23" s="112"/>
      <c r="H23" s="112"/>
      <c r="I23" s="112"/>
      <c r="J23" s="66" t="s">
        <v>367</v>
      </c>
      <c r="K23" s="66" t="s">
        <v>329</v>
      </c>
      <c r="L23" s="116"/>
      <c r="M23" s="116" t="s">
        <v>234</v>
      </c>
      <c r="N23" s="116" t="s">
        <v>351</v>
      </c>
      <c r="O23" s="112"/>
      <c r="P23" s="117">
        <v>45879</v>
      </c>
      <c r="Q23" s="118">
        <f t="shared" si="29"/>
        <v>46609</v>
      </c>
      <c r="R23" s="117">
        <v>45971</v>
      </c>
      <c r="S23" s="66">
        <v>1</v>
      </c>
      <c r="T23" s="66">
        <f t="shared" si="30"/>
        <v>12</v>
      </c>
      <c r="U23" s="117">
        <v>46001</v>
      </c>
      <c r="V23" s="66">
        <f t="shared" ca="1" si="26"/>
        <v>-147</v>
      </c>
      <c r="W23" s="92">
        <f t="shared" ca="1" si="32"/>
        <v>0</v>
      </c>
      <c r="X23" s="66" t="s">
        <v>293</v>
      </c>
      <c r="Y23" s="66" t="s">
        <v>253</v>
      </c>
      <c r="Z23" s="66" t="s">
        <v>413</v>
      </c>
      <c r="AA23" s="66"/>
      <c r="AB23" s="66"/>
      <c r="AC23" s="119"/>
      <c r="AD23" s="92" t="str">
        <f t="shared" ca="1" si="33"/>
        <v>منتهي</v>
      </c>
      <c r="AE23" s="120"/>
    </row>
    <row r="24" spans="1:32" s="68" customFormat="1" ht="20.149999999999999" customHeight="1">
      <c r="A24" s="105">
        <v>120</v>
      </c>
      <c r="B24" s="112" t="s">
        <v>329</v>
      </c>
      <c r="C24" s="115" t="s">
        <v>329</v>
      </c>
      <c r="D24" s="112" t="s">
        <v>482</v>
      </c>
      <c r="E24" s="112" t="s">
        <v>195</v>
      </c>
      <c r="F24" s="112"/>
      <c r="G24" s="112"/>
      <c r="H24" s="112"/>
      <c r="I24" s="112"/>
      <c r="J24" s="66" t="s">
        <v>367</v>
      </c>
      <c r="K24" s="66" t="s">
        <v>329</v>
      </c>
      <c r="L24" s="116"/>
      <c r="M24" s="116" t="s">
        <v>241</v>
      </c>
      <c r="N24" s="116" t="s">
        <v>351</v>
      </c>
      <c r="O24" s="112"/>
      <c r="P24" s="117">
        <v>45848</v>
      </c>
      <c r="Q24" s="118">
        <f>EDATE(P24, 24)</f>
        <v>46578</v>
      </c>
      <c r="R24" s="117">
        <v>45939</v>
      </c>
      <c r="S24" s="66">
        <v>1</v>
      </c>
      <c r="T24" s="66">
        <f>S24*12</f>
        <v>12</v>
      </c>
      <c r="U24" s="117">
        <v>46030</v>
      </c>
      <c r="V24" s="66">
        <f ca="1">U24-TODAY()</f>
        <v>-118</v>
      </c>
      <c r="W24" s="92">
        <f ca="1">DATEDIF(P24, TODAY(), "Y")</f>
        <v>0</v>
      </c>
      <c r="X24" s="66" t="s">
        <v>293</v>
      </c>
      <c r="Y24" s="66" t="s">
        <v>253</v>
      </c>
      <c r="Z24" s="66" t="s">
        <v>413</v>
      </c>
      <c r="AA24" s="66"/>
      <c r="AB24" s="66"/>
      <c r="AC24" s="119"/>
      <c r="AD24" s="92" t="str">
        <f ca="1">IF(U24&lt;TODAY(),"منتهي",IF(U24-TODAY()&gt;=30,"ساري","ينتهي قريباً"))</f>
        <v>منتهي</v>
      </c>
      <c r="AE24" s="120"/>
    </row>
    <row r="25" spans="1:32" s="67" customFormat="1" ht="20.149999999999999" customHeight="1">
      <c r="A25" s="129">
        <v>57</v>
      </c>
      <c r="B25" s="125" t="s">
        <v>6</v>
      </c>
      <c r="C25" s="125" t="s">
        <v>6</v>
      </c>
      <c r="D25" s="125" t="s">
        <v>153</v>
      </c>
      <c r="E25" s="125" t="s">
        <v>195</v>
      </c>
      <c r="F25" s="125" t="s">
        <v>393</v>
      </c>
      <c r="G25" s="125"/>
      <c r="H25" s="125"/>
      <c r="I25" s="125"/>
      <c r="J25" s="125" t="s">
        <v>448</v>
      </c>
      <c r="K25" s="124" t="s">
        <v>367</v>
      </c>
      <c r="L25" s="124" t="s">
        <v>6</v>
      </c>
      <c r="M25" s="130" t="s">
        <v>340</v>
      </c>
      <c r="N25" s="130" t="s">
        <v>234</v>
      </c>
      <c r="O25" s="130" t="s">
        <v>208</v>
      </c>
      <c r="P25" s="125" t="s">
        <v>533</v>
      </c>
      <c r="Q25" s="126">
        <v>44979</v>
      </c>
      <c r="R25" s="126">
        <f t="shared" ref="R25:R26" si="34">EDATE(Q25, 24)</f>
        <v>45710</v>
      </c>
      <c r="S25" s="126">
        <v>45710</v>
      </c>
      <c r="T25" s="124">
        <v>1</v>
      </c>
      <c r="U25" s="124">
        <f t="shared" ref="U25:U26" si="35">T25*12</f>
        <v>12</v>
      </c>
      <c r="V25" s="126">
        <f t="shared" ref="V25:V26" si="36">EDATE(S25,U25)</f>
        <v>46075</v>
      </c>
      <c r="W25" s="124">
        <f t="shared" ref="W25:W26" ca="1" si="37">V25-TODAY()</f>
        <v>-73</v>
      </c>
      <c r="X25" s="124">
        <f t="shared" ref="X25:X26" ca="1" si="38">DATEDIF(Q25, TODAY(), "Y")</f>
        <v>3</v>
      </c>
      <c r="Y25" s="124" t="s">
        <v>293</v>
      </c>
      <c r="Z25" s="124" t="s">
        <v>253</v>
      </c>
      <c r="AA25" s="124" t="s">
        <v>413</v>
      </c>
      <c r="AB25" s="124"/>
      <c r="AC25" s="124"/>
      <c r="AD25" s="134">
        <v>211641.44</v>
      </c>
      <c r="AE25" s="124" t="str">
        <f t="shared" ref="AE25:AE26" ca="1" si="39">IF(V25&lt;TODAY(),"منتهي",IF(V25-TODAY()&gt;=30,"ساري","ينتهي قريباً"))</f>
        <v>منتهي</v>
      </c>
      <c r="AF25" s="131"/>
    </row>
    <row r="26" spans="1:32" s="68" customFormat="1" ht="20.149999999999999" customHeight="1">
      <c r="A26" s="129">
        <v>113</v>
      </c>
      <c r="B26" s="125" t="s">
        <v>6</v>
      </c>
      <c r="C26" s="125" t="s">
        <v>6</v>
      </c>
      <c r="D26" s="125" t="s">
        <v>475</v>
      </c>
      <c r="E26" s="125" t="s">
        <v>194</v>
      </c>
      <c r="F26" s="125"/>
      <c r="G26" s="125"/>
      <c r="H26" s="125"/>
      <c r="I26" s="125"/>
      <c r="J26" s="125"/>
      <c r="K26" s="124" t="s">
        <v>367</v>
      </c>
      <c r="L26" s="124" t="s">
        <v>6</v>
      </c>
      <c r="M26" s="130"/>
      <c r="N26" s="130" t="s">
        <v>429</v>
      </c>
      <c r="O26" s="130" t="s">
        <v>208</v>
      </c>
      <c r="P26" s="125" t="s">
        <v>534</v>
      </c>
      <c r="Q26" s="126">
        <v>45824</v>
      </c>
      <c r="R26" s="126">
        <f t="shared" si="34"/>
        <v>46554</v>
      </c>
      <c r="S26" s="126">
        <v>45824</v>
      </c>
      <c r="T26" s="124">
        <v>1</v>
      </c>
      <c r="U26" s="124">
        <f t="shared" si="35"/>
        <v>12</v>
      </c>
      <c r="V26" s="126">
        <f t="shared" si="36"/>
        <v>46189</v>
      </c>
      <c r="W26" s="124">
        <f t="shared" ca="1" si="37"/>
        <v>41</v>
      </c>
      <c r="X26" s="124">
        <f t="shared" ca="1" si="38"/>
        <v>0</v>
      </c>
      <c r="Y26" s="124" t="s">
        <v>293</v>
      </c>
      <c r="Z26" s="124" t="s">
        <v>253</v>
      </c>
      <c r="AA26" s="124" t="s">
        <v>429</v>
      </c>
      <c r="AB26" s="124"/>
      <c r="AC26" s="124"/>
      <c r="AD26" s="134"/>
      <c r="AE26" s="124" t="str">
        <f t="shared" ca="1" si="39"/>
        <v>ساري</v>
      </c>
      <c r="AF26" s="131"/>
    </row>
  </sheetData>
  <conditionalFormatting sqref="W4:W11 W13">
    <cfRule type="containsText" dxfId="61" priority="67" operator="containsText" text="انتهي العقد">
      <formula>NOT(ISERROR(SEARCH("انتهي العقد",W4)))</formula>
    </cfRule>
  </conditionalFormatting>
  <conditionalFormatting sqref="AA3">
    <cfRule type="containsText" dxfId="60" priority="74" operator="containsText" text="انتهي العقد">
      <formula>NOT(ISERROR(SEARCH("انتهي العقد",AA3)))</formula>
    </cfRule>
  </conditionalFormatting>
  <conditionalFormatting sqref="AA12 X12:Y12">
    <cfRule type="containsText" dxfId="59" priority="66" operator="containsText" text="انتهي العقد">
      <formula>NOT(ISERROR(SEARCH("انتهي العقد",X12)))</formula>
    </cfRule>
  </conditionalFormatting>
  <conditionalFormatting sqref="X12">
    <cfRule type="containsText" dxfId="58" priority="63" operator="containsText" text="منتهي">
      <formula>NOT(ISERROR(SEARCH("منتهي",X12)))</formula>
    </cfRule>
    <cfRule type="containsText" dxfId="57" priority="64" operator="containsText" text="ينتهي قريباً">
      <formula>NOT(ISERROR(SEARCH("ينتهي قريباً",X12)))</formula>
    </cfRule>
    <cfRule type="containsText" dxfId="56" priority="65" operator="containsText" text="ساري">
      <formula>NOT(ISERROR(SEARCH("ساري",X12)))</formula>
    </cfRule>
  </conditionalFormatting>
  <conditionalFormatting sqref="X14">
    <cfRule type="containsText" dxfId="55" priority="62" operator="containsText" text="انتهي العقد">
      <formula>NOT(ISERROR(SEARCH("انتهي العقد",X14)))</formula>
    </cfRule>
  </conditionalFormatting>
  <conditionalFormatting sqref="X14">
    <cfRule type="containsText" dxfId="54" priority="59" operator="containsText" text="منتهي">
      <formula>NOT(ISERROR(SEARCH("منتهي",X14)))</formula>
    </cfRule>
    <cfRule type="containsText" dxfId="53" priority="60" operator="containsText" text="ينتهي قريباً">
      <formula>NOT(ISERROR(SEARCH("ينتهي قريباً",X14)))</formula>
    </cfRule>
    <cfRule type="containsText" dxfId="52" priority="61" operator="containsText" text="ساري">
      <formula>NOT(ISERROR(SEARCH("ساري",X14)))</formula>
    </cfRule>
  </conditionalFormatting>
  <conditionalFormatting sqref="Y15">
    <cfRule type="containsText" dxfId="51" priority="58" operator="containsText" text="انتهي العقد">
      <formula>NOT(ISERROR(SEARCH("انتهي العقد",Y15)))</formula>
    </cfRule>
  </conditionalFormatting>
  <conditionalFormatting sqref="Y15">
    <cfRule type="containsText" dxfId="50" priority="55" operator="containsText" text="منتهي">
      <formula>NOT(ISERROR(SEARCH("منتهي",Y15)))</formula>
    </cfRule>
    <cfRule type="containsText" dxfId="49" priority="56" operator="containsText" text="ينتهي قريباً">
      <formula>NOT(ISERROR(SEARCH("ينتهي قريباً",Y15)))</formula>
    </cfRule>
    <cfRule type="containsText" dxfId="48" priority="57" operator="containsText" text="ساري">
      <formula>NOT(ISERROR(SEARCH("ساري",Y15)))</formula>
    </cfRule>
  </conditionalFormatting>
  <conditionalFormatting sqref="Y16:Z16 AB16">
    <cfRule type="containsText" dxfId="47" priority="54" operator="containsText" text="انتهي العقد">
      <formula>NOT(ISERROR(SEARCH("انتهي العقد",Y16)))</formula>
    </cfRule>
  </conditionalFormatting>
  <conditionalFormatting sqref="Y16">
    <cfRule type="containsText" dxfId="46" priority="51" operator="containsText" text="منتهي">
      <formula>NOT(ISERROR(SEARCH("منتهي",Y16)))</formula>
    </cfRule>
    <cfRule type="containsText" dxfId="45" priority="52" operator="containsText" text="ينتهي قريباً">
      <formula>NOT(ISERROR(SEARCH("ينتهي قريباً",Y16)))</formula>
    </cfRule>
    <cfRule type="containsText" dxfId="44" priority="53" operator="containsText" text="ساري">
      <formula>NOT(ISERROR(SEARCH("ساري",Y16)))</formula>
    </cfRule>
  </conditionalFormatting>
  <conditionalFormatting sqref="AA17">
    <cfRule type="containsText" dxfId="43" priority="50" operator="containsText" text="انتهي العقد">
      <formula>NOT(ISERROR(SEARCH("انتهي العقد",AA17)))</formula>
    </cfRule>
  </conditionalFormatting>
  <conditionalFormatting sqref="AA17">
    <cfRule type="containsText" dxfId="42" priority="47" operator="containsText" text="منتهي">
      <formula>NOT(ISERROR(SEARCH("منتهي",AA17)))</formula>
    </cfRule>
    <cfRule type="containsText" dxfId="41" priority="48" operator="containsText" text="ينتهي قريباً">
      <formula>NOT(ISERROR(SEARCH("ينتهي قريباً",AA17)))</formula>
    </cfRule>
    <cfRule type="containsText" dxfId="40" priority="49" operator="containsText" text="ساري">
      <formula>NOT(ISERROR(SEARCH("ساري",AA17)))</formula>
    </cfRule>
  </conditionalFormatting>
  <conditionalFormatting sqref="AA18">
    <cfRule type="containsText" dxfId="39" priority="46" operator="containsText" text="انتهي العقد">
      <formula>NOT(ISERROR(SEARCH("انتهي العقد",AA18)))</formula>
    </cfRule>
  </conditionalFormatting>
  <conditionalFormatting sqref="AA18">
    <cfRule type="containsText" dxfId="38" priority="43" operator="containsText" text="منتهي">
      <formula>NOT(ISERROR(SEARCH("منتهي",AA18)))</formula>
    </cfRule>
    <cfRule type="containsText" dxfId="37" priority="44" operator="containsText" text="ينتهي قريباً">
      <formula>NOT(ISERROR(SEARCH("ينتهي قريباً",AA18)))</formula>
    </cfRule>
    <cfRule type="containsText" dxfId="36" priority="45" operator="containsText" text="ساري">
      <formula>NOT(ISERROR(SEARCH("ساري",AA18)))</formula>
    </cfRule>
  </conditionalFormatting>
  <conditionalFormatting sqref="AE19 AB19:AC19">
    <cfRule type="containsText" dxfId="35" priority="34" operator="containsText" text="انتهي العقد">
      <formula>NOT(ISERROR(SEARCH("انتهي العقد",AB19)))</formula>
    </cfRule>
  </conditionalFormatting>
  <conditionalFormatting sqref="AB19">
    <cfRule type="containsText" dxfId="34" priority="31" operator="containsText" text="منتهي">
      <formula>NOT(ISERROR(SEARCH("منتهي",AB19)))</formula>
    </cfRule>
    <cfRule type="containsText" dxfId="33" priority="32" operator="containsText" text="ينتهي قريباً">
      <formula>NOT(ISERROR(SEARCH("ينتهي قريباً",AB19)))</formula>
    </cfRule>
    <cfRule type="containsText" dxfId="32" priority="33" operator="containsText" text="ساري">
      <formula>NOT(ISERROR(SEARCH("ساري",AB19)))</formula>
    </cfRule>
  </conditionalFormatting>
  <conditionalFormatting sqref="AB20">
    <cfRule type="containsText" dxfId="31" priority="25" operator="containsText" text="منتهي">
      <formula>NOT(ISERROR(SEARCH("منتهي",AB20)))</formula>
    </cfRule>
    <cfRule type="containsText" dxfId="30" priority="26" operator="containsText" text="ينتهي قريباً">
      <formula>NOT(ISERROR(SEARCH("ينتهي قريباً",AB20)))</formula>
    </cfRule>
    <cfRule type="containsText" dxfId="29" priority="27" operator="containsText" text="ساري">
      <formula>NOT(ISERROR(SEARCH("ساري",AB20)))</formula>
    </cfRule>
  </conditionalFormatting>
  <conditionalFormatting sqref="AB21">
    <cfRule type="containsText" dxfId="28" priority="24" operator="containsText" text="انتهي العقد">
      <formula>NOT(ISERROR(SEARCH("انتهي العقد",AB21)))</formula>
    </cfRule>
  </conditionalFormatting>
  <conditionalFormatting sqref="AB21">
    <cfRule type="containsText" dxfId="27" priority="21" operator="containsText" text="منتهي">
      <formula>NOT(ISERROR(SEARCH("منتهي",AB21)))</formula>
    </cfRule>
    <cfRule type="containsText" dxfId="26" priority="22" operator="containsText" text="ينتهي قريباً">
      <formula>NOT(ISERROR(SEARCH("ينتهي قريباً",AB21)))</formula>
    </cfRule>
    <cfRule type="containsText" dxfId="25" priority="23" operator="containsText" text="ساري">
      <formula>NOT(ISERROR(SEARCH("ساري",AB21)))</formula>
    </cfRule>
  </conditionalFormatting>
  <conditionalFormatting sqref="AD22">
    <cfRule type="containsText" dxfId="24" priority="20" operator="containsText" text="انتهي العقد">
      <formula>NOT(ISERROR(SEARCH("انتهي العقد",AD22)))</formula>
    </cfRule>
  </conditionalFormatting>
  <conditionalFormatting sqref="AD22">
    <cfRule type="containsText" dxfId="23" priority="17" operator="containsText" text="منتهي">
      <formula>NOT(ISERROR(SEARCH("منتهي",AD22)))</formula>
    </cfRule>
    <cfRule type="containsText" dxfId="22" priority="18" operator="containsText" text="ينتهي قريباً">
      <formula>NOT(ISERROR(SEARCH("ينتهي قريباً",AD22)))</formula>
    </cfRule>
    <cfRule type="containsText" dxfId="21" priority="19" operator="containsText" text="ساري">
      <formula>NOT(ISERROR(SEARCH("ساري",AD22)))</formula>
    </cfRule>
  </conditionalFormatting>
  <conditionalFormatting sqref="AD23">
    <cfRule type="containsText" dxfId="20" priority="16" operator="containsText" text="انتهي العقد">
      <formula>NOT(ISERROR(SEARCH("انتهي العقد",AD23)))</formula>
    </cfRule>
  </conditionalFormatting>
  <conditionalFormatting sqref="AD23">
    <cfRule type="containsText" dxfId="19" priority="13" operator="containsText" text="منتهي">
      <formula>NOT(ISERROR(SEARCH("منتهي",AD23)))</formula>
    </cfRule>
    <cfRule type="containsText" dxfId="18" priority="14" operator="containsText" text="ينتهي قريباً">
      <formula>NOT(ISERROR(SEARCH("ينتهي قريباً",AD23)))</formula>
    </cfRule>
    <cfRule type="containsText" dxfId="17" priority="15" operator="containsText" text="ساري">
      <formula>NOT(ISERROR(SEARCH("ساري",AD23)))</formula>
    </cfRule>
  </conditionalFormatting>
  <conditionalFormatting sqref="AD24">
    <cfRule type="containsText" dxfId="16" priority="12" operator="containsText" text="انتهي العقد">
      <formula>NOT(ISERROR(SEARCH("انتهي العقد",AD24)))</formula>
    </cfRule>
  </conditionalFormatting>
  <conditionalFormatting sqref="AD24">
    <cfRule type="containsText" dxfId="15" priority="9" operator="containsText" text="منتهي">
      <formula>NOT(ISERROR(SEARCH("منتهي",AD24)))</formula>
    </cfRule>
    <cfRule type="containsText" dxfId="14" priority="10" operator="containsText" text="ينتهي قريباً">
      <formula>NOT(ISERROR(SEARCH("ينتهي قريباً",AD24)))</formula>
    </cfRule>
    <cfRule type="containsText" dxfId="13" priority="11" operator="containsText" text="ساري">
      <formula>NOT(ISERROR(SEARCH("ساري",AD24)))</formula>
    </cfRule>
  </conditionalFormatting>
  <conditionalFormatting sqref="AE25">
    <cfRule type="containsText" dxfId="12" priority="8" operator="containsText" text="انتهي العقد">
      <formula>NOT(ISERROR(SEARCH("انتهي العقد",AE25)))</formula>
    </cfRule>
  </conditionalFormatting>
  <conditionalFormatting sqref="AE25">
    <cfRule type="containsText" dxfId="11" priority="5" operator="containsText" text="منتهي">
      <formula>NOT(ISERROR(SEARCH("منتهي",AE25)))</formula>
    </cfRule>
    <cfRule type="containsText" dxfId="10" priority="6" operator="containsText" text="ينتهي قريباً">
      <formula>NOT(ISERROR(SEARCH("ينتهي قريباً",AE25)))</formula>
    </cfRule>
    <cfRule type="containsText" dxfId="9" priority="7" operator="containsText" text="ساري">
      <formula>NOT(ISERROR(SEARCH("ساري",AE25)))</formula>
    </cfRule>
  </conditionalFormatting>
  <conditionalFormatting sqref="AE26">
    <cfRule type="containsText" dxfId="8" priority="4" operator="containsText" text="انتهي العقد">
      <formula>NOT(ISERROR(SEARCH("انتهي العقد",AE26)))</formula>
    </cfRule>
  </conditionalFormatting>
  <conditionalFormatting sqref="AE26">
    <cfRule type="containsText" dxfId="7" priority="1" operator="containsText" text="منتهي">
      <formula>NOT(ISERROR(SEARCH("منتهي",AE26)))</formula>
    </cfRule>
    <cfRule type="containsText" dxfId="6" priority="2" operator="containsText" text="ينتهي قريباً">
      <formula>NOT(ISERROR(SEARCH("ينتهي قريباً",AE26)))</formula>
    </cfRule>
    <cfRule type="containsText" dxfId="5" priority="3" operator="containsText" text="ساري">
      <formula>NOT(ISERROR(SEARCH("ساري",AE26)))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C7DF-9DB6-4553-97C7-13B0C3395BAF}">
  <sheetPr codeName="Sheet11">
    <tabColor rgb="FFFF0000"/>
  </sheetPr>
  <dimension ref="B2:G60"/>
  <sheetViews>
    <sheetView rightToLeft="1" view="pageBreakPreview" topLeftCell="A38" zoomScale="40" zoomScaleNormal="30" zoomScaleSheetLayoutView="40" zoomScalePageLayoutView="50" workbookViewId="0">
      <selection activeCell="F30" sqref="F29:F30"/>
    </sheetView>
  </sheetViews>
  <sheetFormatPr defaultRowHeight="14"/>
  <cols>
    <col min="1" max="1" width="7.33203125" bestFit="1" customWidth="1"/>
    <col min="2" max="2" width="14" bestFit="1" customWidth="1"/>
    <col min="3" max="3" width="65" bestFit="1" customWidth="1"/>
    <col min="4" max="4" width="20.08203125" bestFit="1" customWidth="1"/>
    <col min="5" max="5" width="32.33203125" bestFit="1" customWidth="1"/>
    <col min="6" max="6" width="22.33203125" bestFit="1" customWidth="1"/>
    <col min="7" max="7" width="28.6640625" customWidth="1"/>
  </cols>
  <sheetData>
    <row r="2" spans="2:7" s="15" customFormat="1" ht="65.150000000000006" customHeight="1" thickBot="1">
      <c r="B2" s="165" t="s">
        <v>506</v>
      </c>
      <c r="C2" s="165"/>
      <c r="D2" s="165"/>
      <c r="E2" s="165"/>
      <c r="F2" s="165"/>
      <c r="G2" s="165"/>
    </row>
    <row r="3" spans="2:7" s="15" customFormat="1" ht="57.9" customHeight="1" thickBot="1"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</row>
    <row r="4" spans="2:7" s="15" customFormat="1" ht="57.9" customHeight="1">
      <c r="B4" s="45">
        <v>1</v>
      </c>
      <c r="C4" s="46" t="s">
        <v>191</v>
      </c>
      <c r="D4" s="33">
        <f>COUNTIFS(السجل!$E$3:$E$904,"الادارة العليا",السجل!$B$3:$B$904,"ضابط")</f>
        <v>1</v>
      </c>
      <c r="E4" s="33">
        <f>COUNTIFS(السجل!$E$3:$E$904,"الادارة العليا",السجل!$B$3:$B$904,"صف ضابط")</f>
        <v>0</v>
      </c>
      <c r="F4" s="33">
        <f>COUNTIFS(السجل!$E$3:$E$904,"الادارة العليا",السجل!$B$3:$B$904,"موظف")</f>
        <v>0</v>
      </c>
      <c r="G4" s="34">
        <f t="shared" ref="G4" si="0">SUM(D4:F4)</f>
        <v>1</v>
      </c>
    </row>
    <row r="5" spans="2:7" s="15" customFormat="1" ht="57.9" customHeight="1">
      <c r="B5" s="45">
        <v>3</v>
      </c>
      <c r="C5" s="46" t="s">
        <v>195</v>
      </c>
      <c r="D5" s="33">
        <f>COUNTIFS(السجل!$E$3:$E$904,"الادارة الفنية",السجل!$B$3:$B$904,"ضابط")</f>
        <v>18</v>
      </c>
      <c r="E5" s="33">
        <f>COUNTIFS(السجل!$E$3:$E$904,"الادارة الفنية",السجل!$B$3:$B$904,"صف ضابط")</f>
        <v>4</v>
      </c>
      <c r="F5" s="33">
        <f>COUNTIFS(السجل!$E$3:$E$904,"الادارة الفنية",السجل!$B$3:$B$904,"موظف")</f>
        <v>54</v>
      </c>
      <c r="G5" s="34">
        <f t="shared" ref="G5" si="1">SUM(D5:F5)</f>
        <v>76</v>
      </c>
    </row>
    <row r="6" spans="2:7" s="15" customFormat="1" ht="57.9" customHeight="1">
      <c r="B6" s="45">
        <v>2</v>
      </c>
      <c r="C6" s="46" t="s">
        <v>194</v>
      </c>
      <c r="D6" s="33">
        <f>COUNTIFS(السجل!$E$3:$E$904,"ادارة تطوير الاعمال",السجل!$B$3:$B$904,"ضابط")</f>
        <v>4</v>
      </c>
      <c r="E6" s="33">
        <f>COUNTIFS(السجل!$E$3:$E$904,"ادارة تطوير الاعمال",السجل!$B$3:$B$904,"صف ضابط")</f>
        <v>2</v>
      </c>
      <c r="F6" s="33">
        <f>COUNTIFS(السجل!$E$3:$E$904,"ادارة تطوير الاعمال",السجل!$B$3:$B$904,"موظف")</f>
        <v>2</v>
      </c>
      <c r="G6" s="34">
        <f t="shared" ref="G6" si="2">SUM(D6:F6)</f>
        <v>8</v>
      </c>
    </row>
    <row r="7" spans="2:7" s="15" customFormat="1" ht="57.9" customHeight="1">
      <c r="B7" s="45">
        <v>4</v>
      </c>
      <c r="C7" s="46" t="s">
        <v>196</v>
      </c>
      <c r="D7" s="33">
        <f>COUNTIFS(السجل!$E$3:$E$904,"ادارة المراجعة الداخلية",السجل!$B$3:$B$904,"ضابط")</f>
        <v>1</v>
      </c>
      <c r="E7" s="33">
        <f>COUNTIFS(السجل!$E$3:$E$904,"ادارة المراجعة الداخلية",السجل!$B$3:$B$904,"صف ضابط")</f>
        <v>1</v>
      </c>
      <c r="F7" s="33">
        <f>COUNTIFS(السجل!$E$3:$E$904,"ادارة المراجعة الداخلية",السجل!$B$3:$B$904,"موظف")</f>
        <v>0</v>
      </c>
      <c r="G7" s="34">
        <f t="shared" ref="G7:G12" si="3">SUM(D7:F7)</f>
        <v>2</v>
      </c>
    </row>
    <row r="8" spans="2:7" s="15" customFormat="1" ht="57.9" customHeight="1">
      <c r="B8" s="45">
        <v>5</v>
      </c>
      <c r="C8" s="46" t="s">
        <v>197</v>
      </c>
      <c r="D8" s="33">
        <f>COUNTIFS(السجل!$E$3:$E$904,"ادارة الشئون الادارية",السجل!$B$3:$B$904,"ضابط")</f>
        <v>2</v>
      </c>
      <c r="E8" s="33">
        <f>COUNTIFS(السجل!$E$3:$E$904,"ادارة الشئون الادارية",السجل!$B$3:$B$904,"صف ضابط")</f>
        <v>8</v>
      </c>
      <c r="F8" s="33">
        <f>COUNTIFS(السجل!$E$3:$E$904,"ادارة الشئون الادارية",السجل!$B$3:$B$904,"موظف")</f>
        <v>17</v>
      </c>
      <c r="G8" s="34">
        <f t="shared" si="3"/>
        <v>27</v>
      </c>
    </row>
    <row r="9" spans="2:7" s="15" customFormat="1" ht="57.9" customHeight="1">
      <c r="B9" s="45">
        <v>6</v>
      </c>
      <c r="C9" s="46" t="s">
        <v>198</v>
      </c>
      <c r="D9" s="33">
        <f>COUNTIFS(السجل!$E$3:$E$904,"ادارة الشئون المالية",السجل!$B$3:$B$904,"ضابط")</f>
        <v>2</v>
      </c>
      <c r="E9" s="33">
        <f>COUNTIFS(السجل!$E$3:$E$904,"ادارة الشئون المالية",السجل!$B$3:$B$904,"صف ضابط")</f>
        <v>2</v>
      </c>
      <c r="F9" s="33">
        <f>COUNTIFS(السجل!$E$3:$E$904,"ادارة الشئون المالية",السجل!$B$3:$B$904,"موظف")</f>
        <v>2</v>
      </c>
      <c r="G9" s="34">
        <f t="shared" si="3"/>
        <v>6</v>
      </c>
    </row>
    <row r="10" spans="2:7" s="15" customFormat="1" ht="57.9" customHeight="1">
      <c r="B10" s="45">
        <v>7</v>
      </c>
      <c r="C10" s="46" t="s">
        <v>199</v>
      </c>
      <c r="D10" s="33">
        <f>COUNTIFS(السجل!$E$3:$E$904,"ادارة التخطيط والجودة",السجل!$B$3:$B$904,"ضابط")</f>
        <v>0</v>
      </c>
      <c r="E10" s="33">
        <f>COUNTIFS(السجل!$E$3:$E$904,"ادارة التخطيط والجودة",السجل!$B$3:$B$904,"صف ضابط")</f>
        <v>0</v>
      </c>
      <c r="F10" s="33">
        <f>COUNTIFS(السجل!$E$3:$E$904,"ادارة التخطيط والجودة",السجل!$B$3:$B$904,"موظف")</f>
        <v>0</v>
      </c>
      <c r="G10" s="34">
        <f t="shared" si="3"/>
        <v>0</v>
      </c>
    </row>
    <row r="11" spans="2:7" s="15" customFormat="1" ht="57.9" customHeight="1">
      <c r="B11" s="45">
        <v>8</v>
      </c>
      <c r="C11" s="46" t="s">
        <v>200</v>
      </c>
      <c r="D11" s="33">
        <f>COUNTIFS(السجل!$E$3:$E$904,"ادارة الشئون القانونية",السجل!$B$3:$B$904,"ضابط")</f>
        <v>1</v>
      </c>
      <c r="E11" s="33">
        <f>COUNTIFS(السجل!$E$3:$E$904,"ادارة الشئون القانونية",السجل!$B$3:$B$904,"صف ضابط")</f>
        <v>0</v>
      </c>
      <c r="F11" s="33">
        <f>COUNTIFS(السجل!$E$3:$E$904,"ادارة الشئون القانونية",السجل!$B$3:$B$904,"موظف")</f>
        <v>0</v>
      </c>
      <c r="G11" s="34">
        <f t="shared" si="3"/>
        <v>1</v>
      </c>
    </row>
    <row r="12" spans="2:7" s="15" customFormat="1" ht="57.9" customHeight="1">
      <c r="B12" s="45">
        <v>9</v>
      </c>
      <c r="C12" s="46" t="s">
        <v>201</v>
      </c>
      <c r="D12" s="33">
        <f>COUNTIFS(السجل!$E$3:$E$904,"المكتب التنفيذي",السجل!$B$3:$B$904,"ضابط")</f>
        <v>2</v>
      </c>
      <c r="E12" s="33">
        <f>COUNTIFS(السجل!$E$3:$E$904,"المكتب التنفيذي",السجل!$B$3:$B$904,"صف ضابط")</f>
        <v>1</v>
      </c>
      <c r="F12" s="33">
        <f>COUNTIFS(السجل!$E$3:$E$904,"المكتب التنفيذي",السجل!$B$3:$B$904,"موظف")</f>
        <v>1</v>
      </c>
      <c r="G12" s="34">
        <f t="shared" si="3"/>
        <v>4</v>
      </c>
    </row>
    <row r="13" spans="2:7" s="15" customFormat="1" ht="57.9" customHeight="1" thickBot="1">
      <c r="B13" s="50"/>
      <c r="C13" s="51" t="s">
        <v>231</v>
      </c>
      <c r="D13" s="39">
        <f>SUM(D4:D12)</f>
        <v>31</v>
      </c>
      <c r="E13" s="39">
        <f>SUM(E4:E12)</f>
        <v>18</v>
      </c>
      <c r="F13" s="39">
        <f>SUM(F4:F12)</f>
        <v>76</v>
      </c>
      <c r="G13" s="40">
        <f>SUM(G4:G12)</f>
        <v>125</v>
      </c>
    </row>
    <row r="14" spans="2:7" s="15" customFormat="1" ht="65.150000000000006" customHeight="1" thickBot="1">
      <c r="B14" s="165" t="s">
        <v>289</v>
      </c>
      <c r="C14" s="165"/>
      <c r="D14" s="165"/>
      <c r="E14" s="165"/>
      <c r="F14" s="165"/>
      <c r="G14" s="165"/>
    </row>
    <row r="15" spans="2:7" s="15" customFormat="1" ht="57.9" customHeight="1" thickBot="1"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</row>
    <row r="16" spans="2:7" s="15" customFormat="1" ht="57.9" customHeight="1">
      <c r="B16" s="31">
        <v>1</v>
      </c>
      <c r="C16" s="32" t="s">
        <v>234</v>
      </c>
      <c r="D16" s="33">
        <f>COUNTIFS(السجل!$M$3:$M$904,"ولاية البحر الأحمر",السجل!$B$3:$B$904,"ضابط")</f>
        <v>4</v>
      </c>
      <c r="E16" s="33">
        <f>COUNTIFS(السجل!$M$3:$M$904,"ولاية البحر الأحمر",السجل!$B$3:$B$904,"صف ضابط")</f>
        <v>2</v>
      </c>
      <c r="F16" s="33">
        <f>COUNTIFS(السجل!$M$3:$M$904,"ولاية البحر الأحمر",السجل!$B$3:$B$904,"موظف")</f>
        <v>5</v>
      </c>
      <c r="G16" s="47">
        <f t="shared" ref="G16:G24" si="4">SUM(D16:F16)</f>
        <v>11</v>
      </c>
    </row>
    <row r="17" spans="2:7" s="15" customFormat="1" ht="57.9" customHeight="1">
      <c r="B17" s="31">
        <v>2</v>
      </c>
      <c r="C17" s="36" t="s">
        <v>241</v>
      </c>
      <c r="D17" s="33">
        <f>COUNTIFS(السجل!$M$3:$M$904,"ولاية الخرطوم",السجل!$B$3:$B$904,"ضابط")</f>
        <v>23</v>
      </c>
      <c r="E17" s="33">
        <f>COUNTIFS(السجل!$M$3:$M$904,"ولاية الخرطوم",السجل!$B$3:$B$904,"صف ضابط")</f>
        <v>15</v>
      </c>
      <c r="F17" s="33">
        <f>COUNTIFS(السجل!$M$3:$M$904,"ولاية الخرطوم",السجل!$B$3:$B$904,"موظف")</f>
        <v>61</v>
      </c>
      <c r="G17" s="54">
        <f t="shared" si="4"/>
        <v>99</v>
      </c>
    </row>
    <row r="18" spans="2:7" s="15" customFormat="1" ht="57.9" customHeight="1">
      <c r="B18" s="31">
        <v>3</v>
      </c>
      <c r="C18" s="36" t="s">
        <v>235</v>
      </c>
      <c r="D18" s="33">
        <f>COUNTIFS(السجل!$M$3:$M$904,"ولاية كسلا",السجل!$B$3:$B$904,"ضابط")</f>
        <v>0</v>
      </c>
      <c r="E18" s="33">
        <f>COUNTIFS(السجل!$M$3:$M$904,"ولاية كسلا",السجل!$B$3:$B$904,"صف ضابط")</f>
        <v>1</v>
      </c>
      <c r="F18" s="33">
        <f>COUNTIFS(السجل!$M$3:$M$904,"ولاية كسلا",السجل!$B$3:$B$904,"موظف")</f>
        <v>0</v>
      </c>
      <c r="G18" s="54">
        <f t="shared" si="4"/>
        <v>1</v>
      </c>
    </row>
    <row r="19" spans="2:7" s="15" customFormat="1" ht="57.9" customHeight="1">
      <c r="B19" s="31">
        <v>4</v>
      </c>
      <c r="C19" s="36" t="s">
        <v>236</v>
      </c>
      <c r="D19" s="33">
        <f>COUNTIFS(السجل!$M$3:$M$904,"ولاية نهر النيل",السجل!$B$3:$B$904,"ضابط")</f>
        <v>0</v>
      </c>
      <c r="E19" s="33">
        <f>COUNTIFS(السجل!$M$3:$M$904,"ولاية نهر النيل",السجل!$B$3:$B$904,"صف ضابط")</f>
        <v>0</v>
      </c>
      <c r="F19" s="33">
        <f>COUNTIFS(السجل!$M$3:$M$904,"ولاية نهر النيل",السجل!$B$3:$B$904,"موظف")</f>
        <v>3</v>
      </c>
      <c r="G19" s="54">
        <f t="shared" si="4"/>
        <v>3</v>
      </c>
    </row>
    <row r="20" spans="2:7" s="15" customFormat="1" ht="57.9" customHeight="1">
      <c r="B20" s="31">
        <v>5</v>
      </c>
      <c r="C20" s="36" t="s">
        <v>238</v>
      </c>
      <c r="D20" s="33">
        <f>COUNTIFS(السجل!$M$3:$M$904,"الولاية الشمالية",السجل!$B$3:$B$904,"ضابط")</f>
        <v>1</v>
      </c>
      <c r="E20" s="33">
        <f>COUNTIFS(السجل!$M$3:$M$904,"الولاية الشمالية",السجل!$B$3:$B$904,"صف ضابط")</f>
        <v>0</v>
      </c>
      <c r="F20" s="33">
        <f>COUNTIFS(السجل!$M$3:$M$904,"الولاية الشمالية",السجل!$B$3:$B$904,"موظف")</f>
        <v>1</v>
      </c>
      <c r="G20" s="54">
        <f t="shared" si="4"/>
        <v>2</v>
      </c>
    </row>
    <row r="21" spans="2:7" s="15" customFormat="1" ht="57.9" customHeight="1">
      <c r="B21" s="31">
        <v>6</v>
      </c>
      <c r="C21" s="36" t="s">
        <v>239</v>
      </c>
      <c r="D21" s="33">
        <f>COUNTIFS(السجل!$M$3:$M$904,"ولاية النيل الابيض",السجل!$B$3:$B$904,"ضابط")</f>
        <v>1</v>
      </c>
      <c r="E21" s="33">
        <f>COUNTIFS(السجل!$M$3:$M$904,"ولاية النيل الابيض",السجل!$B$3:$B$904,"صف ضابط")</f>
        <v>0</v>
      </c>
      <c r="F21" s="33">
        <f>COUNTIFS(السجل!$M$3:$M$904,"ولاية النيل الابيض",السجل!$B$3:$B$904,"موظف")</f>
        <v>1</v>
      </c>
      <c r="G21" s="54">
        <f>SUM(D21:F21)</f>
        <v>2</v>
      </c>
    </row>
    <row r="22" spans="2:7" s="15" customFormat="1" ht="57.9" customHeight="1">
      <c r="B22" s="31">
        <v>7</v>
      </c>
      <c r="C22" s="36" t="s">
        <v>242</v>
      </c>
      <c r="D22" s="33">
        <f>COUNTIFS(السجل!$M$3:$M$904,"ولاية سنار,السجل!$B$3:$B$900,""ضابط")</f>
        <v>0</v>
      </c>
      <c r="E22" s="33">
        <f>COUNTIFS(السجل!$M$3:$M$904,"ولاية سنار,السجل!$B$3:$B$900,""صف ضابط")</f>
        <v>0</v>
      </c>
      <c r="F22" s="33">
        <f>COUNTIFS(السجل!$M$3:$M$904,"ولاية سنار",السجل!$B$3:$B$904,"موظف")</f>
        <v>1</v>
      </c>
      <c r="G22" s="54">
        <f>SUM(D22:F22)</f>
        <v>1</v>
      </c>
    </row>
    <row r="23" spans="2:7" s="15" customFormat="1" ht="57.9" customHeight="1">
      <c r="B23" s="31"/>
      <c r="C23" s="36" t="s">
        <v>237</v>
      </c>
      <c r="D23" s="33">
        <f>COUNTIFS(السجل!$M$3:$M$904,"ولاية الجزيرة",السجل!$B$3:$B$904,"ضابط")</f>
        <v>1</v>
      </c>
      <c r="E23" s="33">
        <f>COUNTIFS(السجل!$M$3:$M$904,"ولاية الجزيرة,السجل!$B$3:$B$900,""صف ضابط")</f>
        <v>0</v>
      </c>
      <c r="F23" s="33">
        <f>COUNTIFS(السجل!$M$3:$M$904,"ولاية الجزيرة",السجل!$B$3:$B$904,"موظف")</f>
        <v>1</v>
      </c>
      <c r="G23" s="54">
        <f>SUM(D23:F23)</f>
        <v>2</v>
      </c>
    </row>
    <row r="24" spans="2:7" s="15" customFormat="1" ht="57.9" customHeight="1">
      <c r="B24" s="31">
        <v>8</v>
      </c>
      <c r="C24" s="36" t="s">
        <v>278</v>
      </c>
      <c r="D24" s="33">
        <f>COUNTIFS(السجل!$M$3:$M$904,"ولاية النيل الازرق",السجل!$B$3:$B$904,"ضابط")</f>
        <v>0</v>
      </c>
      <c r="E24" s="33">
        <f>COUNTIFS(السجل!$M$3:$M$904,"ولاية النيل الازرق",السجل!$B$3:$B$904,"صف ضابط")</f>
        <v>0</v>
      </c>
      <c r="F24" s="33">
        <f>COUNTIFS(السجل!$M$3:$M$904,"ولاية النيل الازرق",السجل!$B$3:$B$904,"موظف")</f>
        <v>1</v>
      </c>
      <c r="G24" s="54">
        <f t="shared" si="4"/>
        <v>1</v>
      </c>
    </row>
    <row r="25" spans="2:7" s="15" customFormat="1" ht="57.9" customHeight="1">
      <c r="B25" s="31">
        <v>9</v>
      </c>
      <c r="C25" s="36" t="s">
        <v>429</v>
      </c>
      <c r="D25" s="33">
        <f>COUNTIFS(السجل!$M$3:$M$904,"خارج السودان",السجل!$B$3:$B$904,"ضابط")</f>
        <v>1</v>
      </c>
      <c r="E25" s="33">
        <f>COUNTIFS(السجل!$M$3:$M$904,"خارج السودان",السجل!$B$3:$B$904,"صف ضابط")</f>
        <v>0</v>
      </c>
      <c r="F25" s="33">
        <f>COUNTIFS(السجل!$M$3:$M$904,"خارج السودان",السجل!$B$3:$B$904,"موظف")</f>
        <v>3</v>
      </c>
      <c r="G25" s="54">
        <f>SUM(D25:F25)</f>
        <v>4</v>
      </c>
    </row>
    <row r="26" spans="2:7" s="15" customFormat="1" ht="57.9" customHeight="1" thickBot="1">
      <c r="B26" s="37"/>
      <c r="C26" s="38" t="s">
        <v>231</v>
      </c>
      <c r="D26" s="48">
        <f>SUM(D16:D25)</f>
        <v>31</v>
      </c>
      <c r="E26" s="48">
        <f>SUM(E16:E25)</f>
        <v>18</v>
      </c>
      <c r="F26" s="48">
        <f>SUM(F16:F25)</f>
        <v>77</v>
      </c>
      <c r="G26" s="49">
        <f>SUM(G16:G25)</f>
        <v>126</v>
      </c>
    </row>
    <row r="27" spans="2:7" s="15" customFormat="1" ht="65.150000000000006" customHeight="1" thickBot="1">
      <c r="B27" s="165" t="s">
        <v>298</v>
      </c>
      <c r="C27" s="165"/>
      <c r="D27" s="165"/>
      <c r="E27" s="165"/>
      <c r="F27" s="165"/>
      <c r="G27" s="165"/>
    </row>
    <row r="28" spans="2:7" s="15" customFormat="1" ht="57.9" customHeight="1" thickBot="1">
      <c r="B28" s="55" t="s">
        <v>0</v>
      </c>
      <c r="C28" s="56" t="s">
        <v>300</v>
      </c>
      <c r="D28" s="56" t="s">
        <v>228</v>
      </c>
      <c r="E28" s="56" t="s">
        <v>230</v>
      </c>
      <c r="F28" s="56" t="s">
        <v>229</v>
      </c>
      <c r="G28" s="57" t="s">
        <v>231</v>
      </c>
    </row>
    <row r="29" spans="2:7" s="15" customFormat="1" ht="57.9" customHeight="1">
      <c r="B29" s="31">
        <v>1</v>
      </c>
      <c r="C29" s="32" t="s">
        <v>252</v>
      </c>
      <c r="D29" s="33">
        <f>COUNTIFS(السجل!$W$3:$W$904,"داخلي",السجل!$B$3:$B$904,"ضابط",السجل!$M$3:$M$904,"ولاية البحر الاحمر+ولاية الخرطوم+ولاية نهر النيل")</f>
        <v>0</v>
      </c>
      <c r="E29" s="33">
        <f>COUNTIFS(السجل!$W$3:$W$904,"داخلي",السجل!$B$3:$B$904,"ضابط صف",السجل!$M$3:$M$904,"ولاية البحر الاحمر+ولاية الخرطوم+ولاية نهر النيل")</f>
        <v>0</v>
      </c>
      <c r="F29" s="33">
        <f>COUNTIFS(السجل!$W$3:$W$904,"خارجي",السجل!$B$3:$B$904,"موظف",السجل!$M$3:$M$904,"ولاية البحر الاحمر+ولاية الخرطوم+ولاية نهر النيل")</f>
        <v>0</v>
      </c>
      <c r="G29" s="34">
        <f t="shared" ref="G29:G30" si="5">SUM(D29:F29)</f>
        <v>0</v>
      </c>
    </row>
    <row r="30" spans="2:7" s="15" customFormat="1" ht="57.9" customHeight="1">
      <c r="B30" s="35">
        <v>2</v>
      </c>
      <c r="C30" s="36" t="s">
        <v>253</v>
      </c>
      <c r="D30" s="33">
        <f>COUNTIFS(السجل!$W$3:$W$904,"داخلي",السجل!$B$3:$B$904,"ضابط",السجل!$M$3:$M$904,"ولاية البحر الاحمر+ولاية الخرطوم+ولاية نهر النيل")</f>
        <v>0</v>
      </c>
      <c r="E30" s="33">
        <f>COUNTIFS(السجل!$W$3:$W$904,"خارجي",السجل!$B$3:$B$904,"صف ضابط",السجل!$M$3:$M$904,"ولاية البحر الاحمر")</f>
        <v>0</v>
      </c>
      <c r="F30" s="33">
        <f>COUNTIFS(السجل!$W$3:$W$904,"داخلي",السجل!$B$3:$B$904,"موظف",السجل!$M$3:$M$904,"ولاية البحر الاحمر+ولاية الخرطوم+ولاية نهر النيل")</f>
        <v>0</v>
      </c>
      <c r="G30" s="41">
        <f t="shared" si="5"/>
        <v>0</v>
      </c>
    </row>
    <row r="31" spans="2:7" s="15" customFormat="1" ht="57.9" customHeight="1" thickBot="1">
      <c r="B31" s="37"/>
      <c r="C31" s="38" t="s">
        <v>231</v>
      </c>
      <c r="D31" s="39">
        <f>SUM(D29:D30)</f>
        <v>0</v>
      </c>
      <c r="E31" s="39">
        <f>SUM(E29:E30)</f>
        <v>0</v>
      </c>
      <c r="F31" s="39">
        <f>SUM(F29:F30)</f>
        <v>0</v>
      </c>
      <c r="G31" s="40">
        <f>SUM(G29:G30)</f>
        <v>0</v>
      </c>
    </row>
    <row r="32" spans="2:7" s="15" customFormat="1" ht="68.25" customHeight="1" thickBot="1">
      <c r="B32" s="165" t="s">
        <v>290</v>
      </c>
      <c r="C32" s="165"/>
      <c r="D32" s="165"/>
      <c r="E32" s="165"/>
      <c r="F32" s="165"/>
      <c r="G32" s="165"/>
    </row>
    <row r="33" spans="2:7" s="15" customFormat="1" ht="57.9" customHeight="1" thickBot="1">
      <c r="B33" s="55" t="s">
        <v>0</v>
      </c>
      <c r="C33" s="56" t="s">
        <v>1</v>
      </c>
      <c r="D33" s="56" t="s">
        <v>228</v>
      </c>
      <c r="E33" s="56" t="s">
        <v>230</v>
      </c>
      <c r="F33" s="56" t="s">
        <v>229</v>
      </c>
      <c r="G33" s="57" t="s">
        <v>231</v>
      </c>
    </row>
    <row r="34" spans="2:7" s="15" customFormat="1" ht="57.9" customHeight="1">
      <c r="B34" s="31">
        <v>1</v>
      </c>
      <c r="C34" s="36" t="s">
        <v>309</v>
      </c>
      <c r="D34" s="33">
        <f>COUNTIFS(السجل!$B$3:$B$904,"ضابط")</f>
        <v>31</v>
      </c>
      <c r="E34" s="33">
        <f>COUNTIFS(السجل!$B$3:$B$904,"صف ضابط")</f>
        <v>18</v>
      </c>
      <c r="F34" s="33">
        <f>COUNTIFS(السجل!$B$3:$B$904,"موظف")</f>
        <v>77</v>
      </c>
      <c r="G34" s="34">
        <f t="shared" ref="G34" si="6">SUM(D34:F34)</f>
        <v>126</v>
      </c>
    </row>
    <row r="35" spans="2:7" s="15" customFormat="1" ht="57.9" customHeight="1">
      <c r="B35" s="31">
        <v>2</v>
      </c>
      <c r="C35" s="32" t="s">
        <v>414</v>
      </c>
      <c r="D35" s="33">
        <f>COUNTIFS(السجل!$X$3:$X$904,"الشركة",السجل!$B$3:$B$904,"ضابط")</f>
        <v>23</v>
      </c>
      <c r="E35" s="33">
        <f>COUNTIFS(السجل!$X$3:$X$904,"الشركة",السجل!$B$3:$B$904,"صف ضابط")</f>
        <v>9</v>
      </c>
      <c r="F35" s="33">
        <f>COUNTIFS(السجل!$X$3:$X$904,"الشركة",السجل!$B$3:$B$904,"موظف")</f>
        <v>39</v>
      </c>
      <c r="G35" s="34">
        <f t="shared" ref="G35:G36" si="7">SUM(D35:F35)</f>
        <v>71</v>
      </c>
    </row>
    <row r="36" spans="2:7" s="15" customFormat="1" ht="57.9" customHeight="1">
      <c r="B36" s="35">
        <v>3</v>
      </c>
      <c r="C36" s="36" t="s">
        <v>411</v>
      </c>
      <c r="D36" s="33">
        <f>COUNTIFS(السجل!$X$3:$X$904,"الولايات",السجل!$B$3:$B$904,"ضابط")</f>
        <v>7</v>
      </c>
      <c r="E36" s="33">
        <f>COUNTIFS(السجل!$X$3:$X$904,"الولايات",السجل!$B$3:$B$904,"صف ضابط")</f>
        <v>9</v>
      </c>
      <c r="F36" s="33">
        <f>COUNTIFS(السجل!$X$3:$X$904,"الولايات",السجل!$B$3:$B$904,"موظف")</f>
        <v>35</v>
      </c>
      <c r="G36" s="41">
        <f t="shared" si="7"/>
        <v>51</v>
      </c>
    </row>
    <row r="37" spans="2:7" s="15" customFormat="1" ht="57.9" customHeight="1">
      <c r="B37" s="35">
        <v>3</v>
      </c>
      <c r="C37" s="36" t="s">
        <v>429</v>
      </c>
      <c r="D37" s="33">
        <f>COUNTIFS(السجل!$X$3:$X$904,"خارج السودان",السجل!$B$3:$B$904,"ضابط")</f>
        <v>1</v>
      </c>
      <c r="E37" s="33">
        <f>COUNTIFS(السجل!$X$3:$X$904,"خارج السودان",السجل!$B$3:$B$904,"صف ضابط")</f>
        <v>0</v>
      </c>
      <c r="F37" s="33">
        <f>COUNTIFS(السجل!$X$3:$X$904,"خارج السودان",السجل!$B$3:$B$904,"موظف")</f>
        <v>3</v>
      </c>
      <c r="G37" s="41">
        <f t="shared" ref="G37" si="8">SUM(D37:F37)</f>
        <v>4</v>
      </c>
    </row>
    <row r="38" spans="2:7" s="15" customFormat="1" ht="65.150000000000006" customHeight="1" thickBot="1">
      <c r="B38" s="165" t="s">
        <v>299</v>
      </c>
      <c r="C38" s="165"/>
      <c r="D38" s="165"/>
      <c r="E38" s="165"/>
      <c r="F38" s="165"/>
      <c r="G38" s="165"/>
    </row>
    <row r="39" spans="2:7" s="15" customFormat="1" ht="57.9" customHeight="1" thickBot="1">
      <c r="B39" s="55" t="s">
        <v>0</v>
      </c>
      <c r="C39" s="56" t="s">
        <v>292</v>
      </c>
      <c r="D39" s="56" t="s">
        <v>228</v>
      </c>
      <c r="E39" s="56" t="s">
        <v>230</v>
      </c>
      <c r="F39" s="56" t="s">
        <v>229</v>
      </c>
      <c r="G39" s="57" t="s">
        <v>231</v>
      </c>
    </row>
    <row r="40" spans="2:7" s="15" customFormat="1" ht="57.9" customHeight="1">
      <c r="B40" s="35">
        <v>1</v>
      </c>
      <c r="C40" s="36" t="s">
        <v>295</v>
      </c>
      <c r="D40" s="33">
        <f>COUNTIFS(السجل!$V$3:$V$904,"السكن (أ)",السجل!$B$3:$B$904,"ضابط",السجل!$M$3:$M$904,"ولاية البحر الاحمر")</f>
        <v>0</v>
      </c>
      <c r="E40" s="33">
        <f>COUNTIFS(السجل!$V$3:$V$904,"السكن (أ)",السجل!$B$3:$B$904,"صف ضابط",السجل!$M$3:$M$904,"ولاية البحر الاحمر")</f>
        <v>0</v>
      </c>
      <c r="F40" s="33">
        <f>COUNTIFS(السجل!$V$3:$V$904,"السكن (أ)",السجل!$B$3:$B$904,"موظف",السجل!$M$3:$M$904,"ولاية البحر الاحمر")</f>
        <v>0</v>
      </c>
      <c r="G40" s="41">
        <f t="shared" ref="G40" si="9">SUM(D40:F40)</f>
        <v>0</v>
      </c>
    </row>
    <row r="41" spans="2:7" s="15" customFormat="1" ht="57.9" customHeight="1">
      <c r="B41" s="35">
        <v>2</v>
      </c>
      <c r="C41" s="36" t="s">
        <v>296</v>
      </c>
      <c r="D41" s="33">
        <f>COUNTIFS(السجل!$V$3:$V$904,"السكن (ب)",السجل!$B$3:$B$904,"ضابط",السجل!$M$3:$M$904,"ولاية البحر الاحمر")</f>
        <v>0</v>
      </c>
      <c r="E41" s="33">
        <f>COUNTIFS(السجل!$V$3:$V$904,"السكن (ب)",السجل!$B$3:$B$904,"صف ضابط",السجل!$M$3:$M$904,"ولاية البحر الاحمر")</f>
        <v>0</v>
      </c>
      <c r="F41" s="33">
        <f>COUNTIFS(السجل!$V$3:$V$904,"السكن (ب)",السجل!$B$3:$B$904,"موظف",السجل!$M$3:$M$904,"ولاية البحر الاحمر")</f>
        <v>0</v>
      </c>
      <c r="G41" s="41">
        <f>SUM(D41:F41)</f>
        <v>0</v>
      </c>
    </row>
    <row r="42" spans="2:7" s="15" customFormat="1" ht="57.9" customHeight="1">
      <c r="B42" s="35">
        <v>3</v>
      </c>
      <c r="C42" s="36" t="s">
        <v>422</v>
      </c>
      <c r="D42" s="33">
        <f>COUNTIFS(السجل!$V$3:$V$904,"السكن (ج)",السجل!$B$3:$B$904,"ضابط",السجل!$M$3:$M$904,"ولاية البحر الاحمر")</f>
        <v>0</v>
      </c>
      <c r="E42" s="33">
        <f>COUNTIFS(السجل!$V$3:$V$904,"السكن (ج)",السجل!$B$3:$B$904,"صف ضابط",السجل!$M$3:$M$904,"ولاية البحر الاحمر")</f>
        <v>0</v>
      </c>
      <c r="F42" s="33">
        <f>COUNTIFS(السجل!$V$3:$V$904,"السكن (ج)",السجل!$B$3:$B$904,"موظف",السجل!$M$3:$M$904,"ولاية البحر الاحمر")</f>
        <v>0</v>
      </c>
      <c r="G42" s="41">
        <f>SUM(D42:F42)</f>
        <v>0</v>
      </c>
    </row>
    <row r="43" spans="2:7" s="15" customFormat="1" ht="57.9" customHeight="1">
      <c r="B43" s="35">
        <v>4</v>
      </c>
      <c r="C43" s="58" t="s">
        <v>476</v>
      </c>
      <c r="D43" s="33">
        <f>COUNTIFS(السجل!$V$3:$V$904,"السكن (د)",السجل!$B$3:$B$904,"ضابط",السجل!$M$3:$M$904,"ولاية الخرطوم")</f>
        <v>0</v>
      </c>
      <c r="E43" s="33">
        <f>COUNTIFS(السجل!$V$3:$V$904,"السكن (د)",السجل!$B$3:$B$904,"صف ضابط",السجل!$M$3:$M$904,"ولاية الخرطوم")</f>
        <v>0</v>
      </c>
      <c r="F43" s="33">
        <f>COUNTIFS(السجل!$V$3:$V$904,"السكن (د)",السجل!$B$3:$B$904,"موظف",السجل!$M$3:$M$904,"ولاية الخرطوم")</f>
        <v>0</v>
      </c>
      <c r="G43" s="63">
        <f>SUM(D43:F43)</f>
        <v>0</v>
      </c>
    </row>
    <row r="44" spans="2:7" s="15" customFormat="1" ht="57.9" customHeight="1">
      <c r="B44" s="35">
        <v>5</v>
      </c>
      <c r="C44" s="58" t="s">
        <v>293</v>
      </c>
      <c r="D44" s="33">
        <f>COUNTIFS(السجل!$V$3:$V$904,"خاص",السجل!$B$3:$B$904,"ضابط",السجل!$M$3:$M$904,"ولاية البحر الاحمر")</f>
        <v>2</v>
      </c>
      <c r="E44" s="33">
        <f>COUNTIFS(السجل!$V$3:$V$904,"خاص",السجل!$B$3:$B$904,"صف ضابط",السجل!$M$3:$M$904,"ولاية البحر الاحمر")</f>
        <v>0</v>
      </c>
      <c r="F44" s="33">
        <f>COUNTIFS(السجل!$V$3:$V$904,"خاص",السجل!$B$3:$B$904,"موظف",السجل!$M$3:$M$904,"ولاية البحر الاحمر")</f>
        <v>4</v>
      </c>
      <c r="G44" s="63">
        <f>SUM(D44:F44)</f>
        <v>6</v>
      </c>
    </row>
    <row r="45" spans="2:7" s="15" customFormat="1" ht="57.9" customHeight="1" thickBot="1">
      <c r="B45" s="37"/>
      <c r="C45" s="38" t="s">
        <v>231</v>
      </c>
      <c r="D45" s="40">
        <f>SUM(D40:D44)</f>
        <v>2</v>
      </c>
      <c r="E45" s="40">
        <f>SUM(E40:E44)</f>
        <v>0</v>
      </c>
      <c r="F45" s="40">
        <f>SUM(F40:F44)</f>
        <v>4</v>
      </c>
      <c r="G45" s="40">
        <f>SUM(G40:G44)</f>
        <v>6</v>
      </c>
    </row>
    <row r="46" spans="2:7" ht="65.150000000000006" customHeight="1" thickBot="1">
      <c r="B46" s="165" t="s">
        <v>363</v>
      </c>
      <c r="C46" s="165"/>
      <c r="D46" s="165"/>
      <c r="E46" s="165"/>
      <c r="F46" s="165"/>
      <c r="G46" s="165"/>
    </row>
    <row r="47" spans="2:7" ht="69.75" customHeight="1" thickBot="1">
      <c r="B47" s="42" t="s">
        <v>0</v>
      </c>
      <c r="C47" s="43" t="s">
        <v>304</v>
      </c>
      <c r="D47" s="43" t="s">
        <v>228</v>
      </c>
      <c r="E47" s="174" t="s">
        <v>230</v>
      </c>
      <c r="F47" s="175"/>
      <c r="G47" s="44" t="s">
        <v>231</v>
      </c>
    </row>
    <row r="48" spans="2:7" ht="57.9" customHeight="1">
      <c r="B48" s="45">
        <v>1</v>
      </c>
      <c r="C48" s="46" t="s">
        <v>206</v>
      </c>
      <c r="D48" s="33">
        <f>COUNTIFS(السجل!$N$3:$N$904,"منتدب",السجل!$B$3:$B$904,"ضابط")</f>
        <v>29</v>
      </c>
      <c r="E48" s="176">
        <f>COUNTIFS(السجل!$N$3:$N$904,"منتدب",السجل!$B$3:$B$904,"صف ضابط")</f>
        <v>18</v>
      </c>
      <c r="F48" s="177"/>
      <c r="G48" s="34">
        <f t="shared" ref="G48" si="10">SUM(D48:F48)</f>
        <v>47</v>
      </c>
    </row>
    <row r="49" spans="2:7" ht="57.9" customHeight="1">
      <c r="B49" s="52">
        <v>2</v>
      </c>
      <c r="C49" s="53" t="s">
        <v>209</v>
      </c>
      <c r="D49" s="33">
        <f>COUNTIFS(السجل!$N$3:$N$904,"ملحق",السجل!$B$3:$B$904,"ضابط")</f>
        <v>2</v>
      </c>
      <c r="E49" s="178">
        <f>COUNTIFS(السجل!$N$3:$N$904,"ملحق",السجل!$B$3:$B$904,"صف ضابط")</f>
        <v>0</v>
      </c>
      <c r="F49" s="179"/>
      <c r="G49" s="41">
        <f t="shared" ref="G49" si="11">SUM(D49:F49)</f>
        <v>2</v>
      </c>
    </row>
    <row r="50" spans="2:7" ht="57.9" customHeight="1" thickBot="1">
      <c r="B50" s="50"/>
      <c r="C50" s="51" t="s">
        <v>231</v>
      </c>
      <c r="D50" s="39">
        <f>SUM(D48:D49)</f>
        <v>31</v>
      </c>
      <c r="E50" s="172">
        <f>SUM(E48:F49)</f>
        <v>18</v>
      </c>
      <c r="F50" s="180"/>
      <c r="G50" s="40">
        <f>SUM(G48:G49)</f>
        <v>49</v>
      </c>
    </row>
    <row r="51" spans="2:7" s="15" customFormat="1" ht="65.150000000000006" customHeight="1" thickBot="1">
      <c r="B51" s="165" t="s">
        <v>369</v>
      </c>
      <c r="C51" s="165"/>
      <c r="D51" s="165"/>
      <c r="E51" s="165"/>
      <c r="F51" s="165"/>
      <c r="G51" s="165"/>
    </row>
    <row r="52" spans="2:7" s="15" customFormat="1" ht="57.9" customHeight="1" thickBot="1">
      <c r="B52" s="55" t="s">
        <v>0</v>
      </c>
      <c r="C52" s="56" t="s">
        <v>375</v>
      </c>
      <c r="D52" s="56" t="s">
        <v>228</v>
      </c>
      <c r="E52" s="56" t="s">
        <v>230</v>
      </c>
      <c r="F52" s="56" t="s">
        <v>229</v>
      </c>
      <c r="G52" s="57" t="s">
        <v>231</v>
      </c>
    </row>
    <row r="53" spans="2:7" s="15" customFormat="1" ht="57.9" customHeight="1">
      <c r="B53" s="31">
        <v>1</v>
      </c>
      <c r="C53" s="33" t="s">
        <v>367</v>
      </c>
      <c r="D53" s="33">
        <f>COUNTIFS(السجل!$J$3:$J$899,"ذكر",السجل!$B$3:$B$899,"ضابط")</f>
        <v>28</v>
      </c>
      <c r="E53" s="33">
        <f>COUNTIFS(السجل!$J$3:$J$899,"ذكر",السجل!$B$3:$B$899,"صف ضابط")</f>
        <v>17</v>
      </c>
      <c r="F53" s="33">
        <f>COUNTIFS(السجل!$J$3:$J$899,"ذكر",السجل!$B$3:$B$899,"موظف")</f>
        <v>75</v>
      </c>
      <c r="G53" s="34">
        <f t="shared" ref="G53:G54" si="12">SUM(D53:F53)</f>
        <v>120</v>
      </c>
    </row>
    <row r="54" spans="2:7" s="15" customFormat="1" ht="57.9" customHeight="1">
      <c r="B54" s="35">
        <v>2</v>
      </c>
      <c r="C54" s="59" t="s">
        <v>368</v>
      </c>
      <c r="D54" s="33">
        <f>COUNTIFS(السجل!$J$3:$J$899,"انثي",السجل!$B$3:$B$899,"ضابط")</f>
        <v>3</v>
      </c>
      <c r="E54" s="33">
        <f>COUNTIFS(السجل!$J$3:$J$899,"انثي",السجل!$B$3:$B$899,"صف ضابط")</f>
        <v>1</v>
      </c>
      <c r="F54" s="33">
        <f>COUNTIFS(السجل!$J$3:$J$899,"انثي",السجل!$B$3:$B$899,"موظف")</f>
        <v>2</v>
      </c>
      <c r="G54" s="41">
        <f t="shared" si="12"/>
        <v>6</v>
      </c>
    </row>
    <row r="55" spans="2:7" s="15" customFormat="1" ht="57.9" customHeight="1" thickBot="1">
      <c r="B55" s="37"/>
      <c r="C55" s="38" t="s">
        <v>231</v>
      </c>
      <c r="D55" s="39">
        <f>SUM(D53:D54)</f>
        <v>31</v>
      </c>
      <c r="E55" s="39">
        <f>SUM(E53:E54)</f>
        <v>18</v>
      </c>
      <c r="F55" s="39">
        <f>SUM(F53:F54)</f>
        <v>77</v>
      </c>
      <c r="G55" s="40">
        <f>SUM(G53:G54)</f>
        <v>126</v>
      </c>
    </row>
    <row r="56" spans="2:7" s="15" customFormat="1" ht="65.150000000000006" customHeight="1" thickBot="1">
      <c r="B56" s="165" t="s">
        <v>467</v>
      </c>
      <c r="C56" s="165"/>
      <c r="D56" s="165"/>
      <c r="E56" s="165"/>
      <c r="F56" s="165"/>
      <c r="G56" s="165"/>
    </row>
    <row r="57" spans="2:7" s="15" customFormat="1" ht="57.9" customHeight="1" thickBot="1">
      <c r="B57" s="55" t="s">
        <v>0</v>
      </c>
      <c r="C57" s="56" t="s">
        <v>375</v>
      </c>
      <c r="D57" s="56" t="s">
        <v>329</v>
      </c>
      <c r="E57" s="56" t="s">
        <v>421</v>
      </c>
      <c r="F57" s="166" t="s">
        <v>231</v>
      </c>
      <c r="G57" s="167"/>
    </row>
    <row r="58" spans="2:7" s="15" customFormat="1" ht="57.9" customHeight="1">
      <c r="B58" s="31">
        <v>1</v>
      </c>
      <c r="C58" s="33" t="s">
        <v>367</v>
      </c>
      <c r="D58" s="33">
        <f>COUNTIFS(السجل!$J$3:$J$899,"ذكر",السجل!$B$3:$B$899,"متدرب")</f>
        <v>1</v>
      </c>
      <c r="E58" s="33">
        <f>COUNTIFS(السجل!$J$3:$J$899,"ذكر",السجل!$B$3:$B$899,"مجند")</f>
        <v>0</v>
      </c>
      <c r="F58" s="168">
        <f>SUM(D58:E58)</f>
        <v>1</v>
      </c>
      <c r="G58" s="169"/>
    </row>
    <row r="59" spans="2:7" s="15" customFormat="1" ht="57.9" customHeight="1">
      <c r="B59" s="35">
        <v>2</v>
      </c>
      <c r="C59" s="59" t="s">
        <v>368</v>
      </c>
      <c r="D59" s="33">
        <f>COUNTIFS(السجل!$J$3:$J$899,"انثي",السجل!$B$3:$B$899,"متدرب")</f>
        <v>2</v>
      </c>
      <c r="E59" s="33">
        <f>COUNTIFS(السجل!$J$3:$J$899,"انثي",السجل!$B$3:$B$899,"مجند")</f>
        <v>0</v>
      </c>
      <c r="F59" s="170">
        <f>SUM(D59:E59)</f>
        <v>2</v>
      </c>
      <c r="G59" s="171"/>
    </row>
    <row r="60" spans="2:7" s="15" customFormat="1" ht="57.9" customHeight="1" thickBot="1">
      <c r="B60" s="37"/>
      <c r="C60" s="38" t="s">
        <v>231</v>
      </c>
      <c r="D60" s="39">
        <f>SUM(D58:D59)</f>
        <v>3</v>
      </c>
      <c r="E60" s="39">
        <f>SUM(E58:E59)</f>
        <v>0</v>
      </c>
      <c r="F60" s="172">
        <f>SUM(F58:F59)</f>
        <v>3</v>
      </c>
      <c r="G60" s="173"/>
    </row>
  </sheetData>
  <sheetProtection formatCells="0" formatColumns="0" formatRows="0" insertColumns="0" insertRows="0" insertHyperlinks="0" deleteColumns="0" deleteRows="0" sort="0" autoFilter="0" pivotTables="0"/>
  <mergeCells count="16">
    <mergeCell ref="B51:G51"/>
    <mergeCell ref="B2:G2"/>
    <mergeCell ref="B14:G14"/>
    <mergeCell ref="B27:G27"/>
    <mergeCell ref="B32:G32"/>
    <mergeCell ref="B38:G38"/>
    <mergeCell ref="B46:G46"/>
    <mergeCell ref="E47:F47"/>
    <mergeCell ref="E48:F48"/>
    <mergeCell ref="E49:F49"/>
    <mergeCell ref="E50:F50"/>
    <mergeCell ref="B56:G56"/>
    <mergeCell ref="F57:G57"/>
    <mergeCell ref="F58:G58"/>
    <mergeCell ref="F59:G59"/>
    <mergeCell ref="F60:G60"/>
  </mergeCells>
  <printOptions horizontalCentered="1"/>
  <pageMargins left="0.7" right="0.7" top="0.75" bottom="0.75" header="0.3" footer="0.3"/>
  <pageSetup paperSize="9" scale="34" orientation="portrait" r:id="rId1"/>
  <rowBreaks count="1" manualBreakCount="1">
    <brk id="26" min="1" max="6" man="1"/>
  </rowBreaks>
  <ignoredErrors>
    <ignoredError sqref="G4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1">
    <tabColor rgb="FF00B050"/>
  </sheetPr>
  <dimension ref="A1:H177"/>
  <sheetViews>
    <sheetView rightToLeft="1" view="pageBreakPreview" topLeftCell="A28" zoomScale="50" zoomScaleNormal="100" zoomScaleSheetLayoutView="50" workbookViewId="0">
      <selection activeCell="C23" sqref="C23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22.58203125" bestFit="1" customWidth="1"/>
    <col min="7" max="7" width="19.33203125" bestFit="1" customWidth="1"/>
  </cols>
  <sheetData>
    <row r="1" spans="1:8" s="15" customFormat="1" ht="65.150000000000006" customHeight="1" thickBot="1">
      <c r="A1" s="16"/>
      <c r="B1" s="165" t="s">
        <v>288</v>
      </c>
      <c r="C1" s="165"/>
      <c r="D1" s="165"/>
      <c r="E1" s="165"/>
      <c r="F1" s="165"/>
      <c r="G1" s="165"/>
      <c r="H1" s="16"/>
    </row>
    <row r="2" spans="1:8" s="15" customFormat="1" ht="65.150000000000006" customHeight="1" thickBot="1">
      <c r="A2" s="16"/>
      <c r="B2" s="106"/>
      <c r="C2" s="106"/>
      <c r="D2" s="184"/>
      <c r="E2" s="184"/>
      <c r="F2" s="106"/>
      <c r="G2" s="106"/>
      <c r="H2" s="16"/>
    </row>
    <row r="3" spans="1:8" s="15" customFormat="1" ht="57.9" customHeight="1" thickBot="1">
      <c r="A3" s="16"/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  <c r="H3" s="16"/>
    </row>
    <row r="4" spans="1:8" s="15" customFormat="1" ht="57.9" customHeight="1">
      <c r="A4" s="16"/>
      <c r="B4" s="31">
        <v>1</v>
      </c>
      <c r="C4" s="32" t="s">
        <v>191</v>
      </c>
      <c r="D4" s="33">
        <f>COUNTIFS(السجل!$E$3:$E$904,"الإدارة العليا",السجل!$B$3:$B$904,"ضابط")</f>
        <v>1</v>
      </c>
      <c r="E4" s="33">
        <f>COUNTIFS(السجل!$E$3:$E$904,"الادارة العليا",السجل!$B$3:$B$904,"صف ضابط")</f>
        <v>0</v>
      </c>
      <c r="F4" s="33">
        <f>COUNTIFS(السجل!$E$3:$E$904,"الادارة العليا",السجل!$B$3:$B$904,"موظف")</f>
        <v>0</v>
      </c>
      <c r="G4" s="34">
        <f t="shared" ref="G4:G10" si="0">SUM(D4:F4)</f>
        <v>1</v>
      </c>
      <c r="H4" s="16"/>
    </row>
    <row r="5" spans="1:8" s="15" customFormat="1" ht="57.9" customHeight="1">
      <c r="A5" s="16"/>
      <c r="B5" s="31">
        <v>2</v>
      </c>
      <c r="C5" s="32" t="s">
        <v>521</v>
      </c>
      <c r="D5" s="33">
        <f>COUNTIFS(السجل!$E$3:$E$904,"الإستشاريين",السجل!$B$3:$B$904,"ضابط")</f>
        <v>0</v>
      </c>
      <c r="E5" s="33">
        <f>COUNTIFS(السجل!$E$3:$E$904,"الإستشاريين",السجل!$B$3:$B$904,"صف ضابط")</f>
        <v>0</v>
      </c>
      <c r="F5" s="33">
        <f>COUNTIFS(السجل!$E$3:$E$904,"الإستشاريين",السجل!$B$3:$B$904,"موظف")</f>
        <v>1</v>
      </c>
      <c r="G5" s="34">
        <f t="shared" si="0"/>
        <v>1</v>
      </c>
      <c r="H5" s="16"/>
    </row>
    <row r="6" spans="1:8" s="15" customFormat="1" ht="57.9" customHeight="1">
      <c r="A6" s="16"/>
      <c r="B6" s="31">
        <v>3</v>
      </c>
      <c r="C6" s="36" t="s">
        <v>194</v>
      </c>
      <c r="D6" s="59">
        <f>COUNTIFS(السجل!$E$3:$E$904,"ادارة تطوير الاعمال",السجل!$B$3:$B$904,"ضابط")</f>
        <v>4</v>
      </c>
      <c r="E6" s="59">
        <f>COUNTIFS(السجل!$E$3:$E$904,"ادارة تطوير الاعمال",السجل!$B$3:$B$904,"صف ضابط")</f>
        <v>2</v>
      </c>
      <c r="F6" s="59">
        <f>COUNTIFS(السجل!$E$3:$E$904,"ادارة تطوير الاعمال",السجل!$B$3:$B$904,"موظف")</f>
        <v>2</v>
      </c>
      <c r="G6" s="41">
        <f t="shared" si="0"/>
        <v>8</v>
      </c>
      <c r="H6" s="16"/>
    </row>
    <row r="7" spans="1:8" s="15" customFormat="1" ht="57.9" customHeight="1">
      <c r="A7" s="16"/>
      <c r="B7" s="31">
        <v>4</v>
      </c>
      <c r="C7" s="36" t="s">
        <v>195</v>
      </c>
      <c r="D7" s="59">
        <f>COUNTIFS(السجل!$E$3:$E$904,"الادارة الفنية",السجل!$B$3:$B$904,"ضابط")</f>
        <v>18</v>
      </c>
      <c r="E7" s="59">
        <f>COUNTIFS(السجل!$E$3:$E$904,"الادارة الفنية",السجل!$B$3:$B$904,"صف ضابط")</f>
        <v>4</v>
      </c>
      <c r="F7" s="59">
        <f>COUNTIFS(السجل!$E$3:$E$904,"الادارة الفنية",السجل!$B$3:$B$904,"موظف")</f>
        <v>54</v>
      </c>
      <c r="G7" s="41">
        <f t="shared" si="0"/>
        <v>76</v>
      </c>
      <c r="H7" s="16"/>
    </row>
    <row r="8" spans="1:8" s="15" customFormat="1" ht="57.9" customHeight="1">
      <c r="A8" s="16"/>
      <c r="B8" s="31">
        <v>5</v>
      </c>
      <c r="C8" s="36" t="s">
        <v>196</v>
      </c>
      <c r="D8" s="59">
        <f>COUNTIFS(السجل!$E$3:$E$904,"ادارة المراجعة الداخلية",السجل!$B$3:$B$904,"ضابط")</f>
        <v>1</v>
      </c>
      <c r="E8" s="59">
        <f>COUNTIFS(السجل!$E$3:$E$904,"ادارة المراجعة الداخلية",السجل!$B$3:$B$904,"صف ضابط")</f>
        <v>1</v>
      </c>
      <c r="F8" s="59">
        <f>COUNTIFS(السجل!$E$3:$E$904,"ادارة المراجعة الداخلية",السجل!$B$3:$B$904,"موظف")</f>
        <v>0</v>
      </c>
      <c r="G8" s="41">
        <f t="shared" si="0"/>
        <v>2</v>
      </c>
      <c r="H8" s="16"/>
    </row>
    <row r="9" spans="1:8" s="15" customFormat="1" ht="57.9" customHeight="1">
      <c r="A9" s="16"/>
      <c r="B9" s="31">
        <v>6</v>
      </c>
      <c r="C9" s="36" t="s">
        <v>197</v>
      </c>
      <c r="D9" s="59">
        <f>COUNTIFS(السجل!$E$3:$E$904,"ادارة الشئون الادارية",السجل!$B$3:$B$904,"ضابط")</f>
        <v>2</v>
      </c>
      <c r="E9" s="59">
        <f>COUNTIFS(السجل!$E$3:$E$904,"ادارة الشئون الادارية",السجل!$B$3:$B$904,"صف ضابط")</f>
        <v>8</v>
      </c>
      <c r="F9" s="59">
        <f>COUNTIFS(السجل!$E$3:$E$904,"ادارة الشئون الادارية",السجل!$B$3:$B$904,"موظف")</f>
        <v>17</v>
      </c>
      <c r="G9" s="41">
        <f t="shared" si="0"/>
        <v>27</v>
      </c>
      <c r="H9" s="16"/>
    </row>
    <row r="10" spans="1:8" s="15" customFormat="1" ht="57.9" customHeight="1">
      <c r="A10" s="16"/>
      <c r="B10" s="31">
        <v>7</v>
      </c>
      <c r="C10" s="36" t="s">
        <v>198</v>
      </c>
      <c r="D10" s="59">
        <f>COUNTIFS(السجل!$E$3:$E$904,"ادارة الشئون المالية",السجل!$B$3:$B$904,"ضابط")</f>
        <v>2</v>
      </c>
      <c r="E10" s="59">
        <f>COUNTIFS(السجل!$E$3:$E$904,"ادارة الشئون المالية",السجل!$B$3:$B$904,"صف ضابط")</f>
        <v>2</v>
      </c>
      <c r="F10" s="59">
        <f>COUNTIFS(السجل!$E$3:$E$904,"ادارة الشئون المالية",السجل!$B$3:$B$904,"موظف")</f>
        <v>2</v>
      </c>
      <c r="G10" s="41">
        <f t="shared" si="0"/>
        <v>6</v>
      </c>
      <c r="H10" s="16"/>
    </row>
    <row r="11" spans="1:8" s="15" customFormat="1" ht="57.9" customHeight="1">
      <c r="A11" s="16"/>
      <c r="B11" s="31">
        <v>8</v>
      </c>
      <c r="C11" s="36" t="s">
        <v>200</v>
      </c>
      <c r="D11" s="59">
        <f>COUNTIFS(السجل!$E$3:$E$904,"ادارة الشئون القانونية",السجل!$B$3:$B$904,"ضابط")</f>
        <v>1</v>
      </c>
      <c r="E11" s="59">
        <f>COUNTIFS(السجل!$E$3:$E$904,"ادارة الشئون القانونية",السجل!$B$3:$B$904,"صف ضابط")</f>
        <v>0</v>
      </c>
      <c r="F11" s="59">
        <f>COUNTIFS(السجل!$E$3:$E$904,"ادارة الشئون القانونية",السجل!$B$3:$B$904,"موظف")</f>
        <v>0</v>
      </c>
      <c r="G11" s="41">
        <f t="shared" ref="G11" si="1">SUM(D11:F11)</f>
        <v>1</v>
      </c>
      <c r="H11" s="16"/>
    </row>
    <row r="12" spans="1:8" s="15" customFormat="1" ht="57.9" customHeight="1">
      <c r="A12" s="16"/>
      <c r="B12" s="31">
        <v>9</v>
      </c>
      <c r="C12" s="36" t="s">
        <v>201</v>
      </c>
      <c r="D12" s="59">
        <f>COUNTIFS(السجل!$E$3:$E$904,"المكتب التنفيذي",السجل!$B$3:$B$904,"ضابط")</f>
        <v>2</v>
      </c>
      <c r="E12" s="59">
        <f>COUNTIFS(السجل!$E$3:$E$904,"المكتب التنفيذي",السجل!$B$3:$B$904,"صف ضابط")</f>
        <v>1</v>
      </c>
      <c r="F12" s="59">
        <f>COUNTIFS(السجل!$E$3:$E$904,"المكتب التنفيذي",السجل!$B$3:$B$904,"موظف")</f>
        <v>1</v>
      </c>
      <c r="G12" s="41">
        <f>SUM(D12:F12)</f>
        <v>4</v>
      </c>
      <c r="H12" s="16"/>
    </row>
    <row r="13" spans="1:8" s="15" customFormat="1" ht="57.9" customHeight="1" thickBot="1">
      <c r="A13" s="16"/>
      <c r="B13" s="37"/>
      <c r="C13" s="38" t="s">
        <v>231</v>
      </c>
      <c r="D13" s="39">
        <f>SUM(D4:D12)</f>
        <v>31</v>
      </c>
      <c r="E13" s="39">
        <f>SUM(E4:E12)</f>
        <v>18</v>
      </c>
      <c r="F13" s="39">
        <f>SUM(F4:F12)</f>
        <v>77</v>
      </c>
      <c r="G13" s="40">
        <f>SUM(G4:G12)</f>
        <v>126</v>
      </c>
      <c r="H13" s="16"/>
    </row>
    <row r="14" spans="1:8" s="15" customFormat="1" ht="65.150000000000006" customHeight="1" thickBot="1">
      <c r="A14" s="16"/>
      <c r="B14" s="165" t="s">
        <v>289</v>
      </c>
      <c r="C14" s="165"/>
      <c r="D14" s="165"/>
      <c r="E14" s="165"/>
      <c r="F14" s="165"/>
      <c r="G14" s="165"/>
      <c r="H14" s="16"/>
    </row>
    <row r="15" spans="1:8" s="15" customFormat="1" ht="57.9" customHeight="1" thickBot="1">
      <c r="A15" s="16"/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  <c r="H15" s="16"/>
    </row>
    <row r="16" spans="1:8" s="15" customFormat="1" ht="57.9" customHeight="1">
      <c r="A16" s="16"/>
      <c r="B16" s="31">
        <v>1</v>
      </c>
      <c r="C16" s="32" t="s">
        <v>234</v>
      </c>
      <c r="D16" s="33">
        <f>COUNTIFS(السجل!$M$3:$M$904,"ولاية البحر الأحمر",السجل!$B$3:$B$904,"ضابط")</f>
        <v>4</v>
      </c>
      <c r="E16" s="33">
        <f>COUNTIFS(السجل!$M$3:$M$904,"ولاية البحر الأحمر",السجل!$B$3:$B$904,"صف ضابط")</f>
        <v>2</v>
      </c>
      <c r="F16" s="33">
        <f>COUNTIFS(السجل!$M$3:$M$904,"ولاية البحر الأحمر",السجل!$B$3:$B$904,"موظف")</f>
        <v>5</v>
      </c>
      <c r="G16" s="34">
        <f t="shared" ref="G16:G21" si="2">SUM(D16:F16)</f>
        <v>11</v>
      </c>
      <c r="H16" s="16"/>
    </row>
    <row r="17" spans="1:8" s="15" customFormat="1" ht="57.9" customHeight="1">
      <c r="A17" s="16"/>
      <c r="B17" s="35">
        <v>2</v>
      </c>
      <c r="C17" s="36" t="s">
        <v>241</v>
      </c>
      <c r="D17" s="33">
        <f>COUNTIFS(السجل!$M$3:$M$904,"ولاية الخرطوم",السجل!$B$3:$B$904,"ضابط")</f>
        <v>23</v>
      </c>
      <c r="E17" s="33">
        <f>COUNTIFS(السجل!$M$3:$M$904,"ولاية الخرطوم",السجل!$B$3:$B$904,"صف ضابط")</f>
        <v>15</v>
      </c>
      <c r="F17" s="33">
        <f>COUNTIFS(السجل!$M$3:$M$904,"ولاية الخرطوم",السجل!$B$3:$B$904,"موظف")</f>
        <v>61</v>
      </c>
      <c r="G17" s="41">
        <f t="shared" si="2"/>
        <v>99</v>
      </c>
      <c r="H17" s="16"/>
    </row>
    <row r="18" spans="1:8" s="15" customFormat="1" ht="57.9" customHeight="1">
      <c r="A18" s="16"/>
      <c r="B18" s="31">
        <v>3</v>
      </c>
      <c r="C18" s="36" t="s">
        <v>235</v>
      </c>
      <c r="D18" s="33">
        <f>COUNTIFS(السجل!$M$3:$M$904,"ولاية كسلا",السجل!$B$3:$B$904,"ضابط")</f>
        <v>0</v>
      </c>
      <c r="E18" s="33">
        <f>COUNTIFS(السجل!$M$3:$M$904,"ولاية كسلا",السجل!$B$3:$B$904,"صف ضابط")</f>
        <v>1</v>
      </c>
      <c r="F18" s="33">
        <f>COUNTIFS(السجل!$M$3:$M$904,"ولاية كسلا",السجل!$B$3:$B$904,"موظف")</f>
        <v>0</v>
      </c>
      <c r="G18" s="41">
        <f t="shared" si="2"/>
        <v>1</v>
      </c>
      <c r="H18" s="16"/>
    </row>
    <row r="19" spans="1:8" s="15" customFormat="1" ht="57.9" customHeight="1">
      <c r="A19" s="16"/>
      <c r="B19" s="31">
        <v>4</v>
      </c>
      <c r="C19" s="36" t="s">
        <v>236</v>
      </c>
      <c r="D19" s="33">
        <f>COUNTIFS(السجل!$M$3:$M$904,"ولاية نهر النيل",السجل!$B$3:$B$904,"ضابط")</f>
        <v>0</v>
      </c>
      <c r="E19" s="33">
        <f>COUNTIFS(السجل!$M$3:$M$904,"ولاية نهر النيل",السجل!$B$3:$B$904,"صف ضابط")</f>
        <v>0</v>
      </c>
      <c r="F19" s="33">
        <f>COUNTIFS(السجل!$M$3:$M$904,"ولاية نهر النيل",السجل!$B$3:$B$904,"موظف")</f>
        <v>3</v>
      </c>
      <c r="G19" s="41">
        <f t="shared" si="2"/>
        <v>3</v>
      </c>
      <c r="H19" s="16"/>
    </row>
    <row r="20" spans="1:8" s="15" customFormat="1" ht="57.9" customHeight="1">
      <c r="A20" s="16"/>
      <c r="B20" s="31">
        <v>5</v>
      </c>
      <c r="C20" s="36" t="s">
        <v>238</v>
      </c>
      <c r="D20" s="33">
        <f>COUNTIFS(السجل!$M$3:$M$904,"الولاية الشمالية",السجل!$B$3:$B$904,"ضابط")</f>
        <v>1</v>
      </c>
      <c r="E20" s="33">
        <f>COUNTIFS(السجل!$M$3:$M$904,"الولاية الشمالية",السجل!$B$3:$B$904,"صف ضابط")</f>
        <v>0</v>
      </c>
      <c r="F20" s="33">
        <f>COUNTIFS(السجل!$M$3:$M$904,"الولاية الشمالية",السجل!$B$3:$B$904,"موظف")</f>
        <v>1</v>
      </c>
      <c r="G20" s="41">
        <f t="shared" si="2"/>
        <v>2</v>
      </c>
      <c r="H20" s="16"/>
    </row>
    <row r="21" spans="1:8" s="15" customFormat="1" ht="57.9" customHeight="1">
      <c r="A21" s="16"/>
      <c r="B21" s="31">
        <v>6</v>
      </c>
      <c r="C21" s="36" t="s">
        <v>239</v>
      </c>
      <c r="D21" s="33">
        <f>COUNTIFS(السجل!$M$3:$M$904,"ولاية النيل الابيض",السجل!$B$3:$B$904,"ضابط")</f>
        <v>1</v>
      </c>
      <c r="E21" s="33">
        <f>COUNTIFS(السجل!$M$3:$M$904,"ولاية النيل الابيض",السجل!$B$3:$B$904,"صف ضابط")</f>
        <v>0</v>
      </c>
      <c r="F21" s="33">
        <f>COUNTIFS(السجل!$M$3:$M$904,"ولاية النيل الابيض",السجل!$B$3:$B$904,"موظف")</f>
        <v>1</v>
      </c>
      <c r="G21" s="41">
        <f t="shared" si="2"/>
        <v>2</v>
      </c>
      <c r="H21" s="16"/>
    </row>
    <row r="22" spans="1:8" s="15" customFormat="1" ht="57.9" customHeight="1">
      <c r="A22" s="16"/>
      <c r="B22" s="31">
        <v>7</v>
      </c>
      <c r="C22" s="36" t="s">
        <v>278</v>
      </c>
      <c r="D22" s="33">
        <f>COUNTIFS(السجل!$M$3:$M$904,"ولاية النيل الازرق",السجل!$B$3:$B$904,"ضابط")</f>
        <v>0</v>
      </c>
      <c r="E22" s="33">
        <f>COUNTIFS(السجل!$M$3:$M$904,"ولاية النيل الازرق",السجل!$B$3:$B$904,"صف ضابط")</f>
        <v>0</v>
      </c>
      <c r="F22" s="33">
        <f>COUNTIFS(السجل!$M$3:$M$904,"ولاية النيل الازرق",السجل!$B$3:$B$904,"موظف")</f>
        <v>1</v>
      </c>
      <c r="G22" s="41">
        <f>SUM(D22:F22)</f>
        <v>1</v>
      </c>
      <c r="H22" s="16"/>
    </row>
    <row r="23" spans="1:8" s="15" customFormat="1" ht="57.9" customHeight="1">
      <c r="A23" s="16"/>
      <c r="B23" s="31">
        <v>8</v>
      </c>
      <c r="C23" s="36" t="s">
        <v>237</v>
      </c>
      <c r="D23" s="33">
        <f>COUNTIFS(السجل!$M$3:$M$904,"ولاية الجزيرة",السجل!$B$3:$B$904,"ضابط")</f>
        <v>1</v>
      </c>
      <c r="E23" s="33">
        <f>COUNTIFS(السجل!$M$3:$M$904,"ولاية الجزيرة",السجل!$B$3:$B$904,"صف ضابط")</f>
        <v>0</v>
      </c>
      <c r="F23" s="33">
        <f>COUNTIFS(السجل!$M$3:$M$904,"ولاية الجزيرة",السجل!$B$3:$B$904,"موظف")</f>
        <v>1</v>
      </c>
      <c r="G23" s="41">
        <f t="shared" ref="G23:G25" si="3">SUM(D23:F23)</f>
        <v>2</v>
      </c>
      <c r="H23" s="16"/>
    </row>
    <row r="24" spans="1:8" s="15" customFormat="1" ht="57.9" customHeight="1">
      <c r="A24" s="16"/>
      <c r="B24" s="31">
        <v>9</v>
      </c>
      <c r="C24" s="36" t="s">
        <v>242</v>
      </c>
      <c r="D24" s="33">
        <f>COUNTIFS(السجل!$M$3:$M$904,"ولاية سنار",السجل!$B$3:$B$904,"ضابط")</f>
        <v>0</v>
      </c>
      <c r="E24" s="33">
        <f>COUNTIFS(السجل!$M$3:$M$904,"ولاية سنار",السجل!$B$3:$B$904,"صف ضابط")</f>
        <v>0</v>
      </c>
      <c r="F24" s="33">
        <f>COUNTIFS(السجل!$M$3:$M$904,"ولاية سنار",السجل!$B$3:$B$904,"موظف")</f>
        <v>1</v>
      </c>
      <c r="G24" s="41">
        <f t="shared" si="3"/>
        <v>1</v>
      </c>
      <c r="H24" s="16"/>
    </row>
    <row r="25" spans="1:8" s="15" customFormat="1" ht="57.9" customHeight="1">
      <c r="A25" s="16"/>
      <c r="B25" s="31">
        <v>10</v>
      </c>
      <c r="C25" s="36" t="s">
        <v>429</v>
      </c>
      <c r="D25" s="33">
        <f>COUNTIFS(السجل!$M$3:$M$904,"خارج السودان",السجل!$B$3:$B$904,"ضابط")</f>
        <v>1</v>
      </c>
      <c r="E25" s="33">
        <f>COUNTIFS(السجل!$M$3:$M$904,"خارج السودان",السجل!$B$3:$B$904,"صف ضابط")</f>
        <v>0</v>
      </c>
      <c r="F25" s="33">
        <f>COUNTIFS(السجل!$M$3:$M$904,"خارج السودان",السجل!$B$3:$B$904,"موظف")</f>
        <v>3</v>
      </c>
      <c r="G25" s="41">
        <f t="shared" si="3"/>
        <v>4</v>
      </c>
      <c r="H25" s="16"/>
    </row>
    <row r="26" spans="1:8" s="15" customFormat="1" ht="57.9" customHeight="1" thickBot="1">
      <c r="A26" s="16"/>
      <c r="B26" s="37"/>
      <c r="C26" s="38" t="s">
        <v>231</v>
      </c>
      <c r="D26" s="39">
        <f>SUM(D16:D25)</f>
        <v>31</v>
      </c>
      <c r="E26" s="39">
        <f>SUM(E16:E25)</f>
        <v>18</v>
      </c>
      <c r="F26" s="39">
        <f>SUM(F16:F25)</f>
        <v>77</v>
      </c>
      <c r="G26" s="40">
        <f>SUM(G16:G25)</f>
        <v>126</v>
      </c>
      <c r="H26" s="16"/>
    </row>
    <row r="27" spans="1:8" s="15" customFormat="1" ht="65.150000000000006" customHeight="1" thickBot="1">
      <c r="A27" s="16"/>
      <c r="B27" s="165" t="s">
        <v>290</v>
      </c>
      <c r="C27" s="165"/>
      <c r="D27" s="165"/>
      <c r="E27" s="165"/>
      <c r="F27" s="165"/>
      <c r="G27" s="165"/>
      <c r="H27" s="16"/>
    </row>
    <row r="28" spans="1:8" s="15" customFormat="1" ht="57.9" customHeight="1" thickBot="1">
      <c r="A28" s="16"/>
      <c r="B28" s="42" t="s">
        <v>0</v>
      </c>
      <c r="C28" s="43" t="s">
        <v>255</v>
      </c>
      <c r="D28" s="43" t="s">
        <v>228</v>
      </c>
      <c r="E28" s="43" t="s">
        <v>230</v>
      </c>
      <c r="F28" s="43" t="s">
        <v>229</v>
      </c>
      <c r="G28" s="44" t="s">
        <v>231</v>
      </c>
      <c r="H28" s="16"/>
    </row>
    <row r="29" spans="1:8" s="15" customFormat="1" ht="57.9" customHeight="1">
      <c r="A29" s="16"/>
      <c r="B29" s="31">
        <v>1</v>
      </c>
      <c r="C29" s="32" t="s">
        <v>249</v>
      </c>
      <c r="D29" s="33">
        <f>COUNTIFS(السجل!$X$3:$X$904,"في العمل",السجل!$B$3:$B$904,"ضابط")</f>
        <v>0</v>
      </c>
      <c r="E29" s="33">
        <f>COUNTIFS(السجل!$X$3:$X$904,"في العمل",السجل!$B$3:$B$904,"صف ضابط")</f>
        <v>0</v>
      </c>
      <c r="F29" s="33">
        <f>COUNTIFS(السجل!$X$3:$X$904,"في العمل",السجل!$B$3:$B$904,"موظف")</f>
        <v>0</v>
      </c>
      <c r="G29" s="34">
        <f t="shared" ref="G29:G30" si="4">SUM(D29:F29)</f>
        <v>0</v>
      </c>
      <c r="H29" s="16"/>
    </row>
    <row r="30" spans="1:8" s="15" customFormat="1" ht="57.9" customHeight="1">
      <c r="A30" s="16"/>
      <c r="B30" s="35">
        <v>2</v>
      </c>
      <c r="C30" s="36" t="s">
        <v>251</v>
      </c>
      <c r="D30" s="33">
        <f>COUNTIFS(السجل!$X$3:$X$904,"خارج العمل",السجل!$B$3:$B$904,"ضابط")</f>
        <v>0</v>
      </c>
      <c r="E30" s="33">
        <f>COUNTIFS(السجل!$X$3:$X$904,"خارج العمل",السجل!$B$3:$B$904,"صف ضابط")</f>
        <v>0</v>
      </c>
      <c r="F30" s="33">
        <f>COUNTIFS(السجل!$X$3:$X$904,"خارج العمل",السجل!$B$3:$B$904,"موظف")</f>
        <v>0</v>
      </c>
      <c r="G30" s="41">
        <f t="shared" si="4"/>
        <v>0</v>
      </c>
      <c r="H30" s="16"/>
    </row>
    <row r="31" spans="1:8" s="15" customFormat="1" ht="57.9" customHeight="1" thickBot="1">
      <c r="A31" s="16"/>
      <c r="B31" s="37"/>
      <c r="C31" s="38" t="s">
        <v>231</v>
      </c>
      <c r="D31" s="39">
        <f>SUM(D29:D30)</f>
        <v>0</v>
      </c>
      <c r="E31" s="39">
        <f>SUM(E29:E30)</f>
        <v>0</v>
      </c>
      <c r="F31" s="39">
        <f>SUM(F29:F30)</f>
        <v>0</v>
      </c>
      <c r="G31" s="40">
        <f>SUM(G29:G30)</f>
        <v>0</v>
      </c>
      <c r="H31" s="16"/>
    </row>
    <row r="32" spans="1:8" s="15" customFormat="1" ht="65.150000000000006" customHeight="1" thickBot="1">
      <c r="A32" s="16"/>
      <c r="B32" s="165" t="s">
        <v>305</v>
      </c>
      <c r="C32" s="165"/>
      <c r="D32" s="165"/>
      <c r="E32" s="165"/>
      <c r="F32" s="165"/>
      <c r="G32" s="165"/>
      <c r="H32" s="16"/>
    </row>
    <row r="33" spans="1:8" s="15" customFormat="1" ht="57.9" customHeight="1" thickBot="1">
      <c r="A33" s="16"/>
      <c r="B33" s="42" t="s">
        <v>0</v>
      </c>
      <c r="C33" s="43" t="s">
        <v>304</v>
      </c>
      <c r="D33" s="174" t="s">
        <v>307</v>
      </c>
      <c r="E33" s="183"/>
      <c r="F33" s="175"/>
      <c r="G33" s="44" t="s">
        <v>231</v>
      </c>
      <c r="H33" s="16"/>
    </row>
    <row r="34" spans="1:8" s="15" customFormat="1" ht="57.9" customHeight="1" thickBot="1">
      <c r="A34" s="16"/>
      <c r="B34" s="31">
        <v>1</v>
      </c>
      <c r="C34" s="32" t="s">
        <v>306</v>
      </c>
      <c r="D34" s="176">
        <f>COUNTIFS(السجل!$N$3:$N$904,"عقد عمل مسمى الاجل",السجل!$B$3:$B$904,"موظف")</f>
        <v>4</v>
      </c>
      <c r="E34" s="181"/>
      <c r="F34" s="177"/>
      <c r="G34" s="34">
        <f t="shared" ref="G34" si="5">SUM(D34:F34)</f>
        <v>4</v>
      </c>
      <c r="H34" s="16"/>
    </row>
    <row r="35" spans="1:8" s="15" customFormat="1" ht="57.9" customHeight="1">
      <c r="A35" s="16"/>
      <c r="B35" s="35">
        <v>2</v>
      </c>
      <c r="C35" s="36" t="s">
        <v>208</v>
      </c>
      <c r="D35" s="176">
        <f>COUNTIFS(السجل!$N$3:$N$904,"عقد عمل خاص",السجل!$B$3:$B$904,"موظف")</f>
        <v>72</v>
      </c>
      <c r="E35" s="181"/>
      <c r="F35" s="177"/>
      <c r="G35" s="41">
        <f t="shared" ref="G35" si="6">SUM(D35:F35)</f>
        <v>72</v>
      </c>
      <c r="H35" s="16"/>
    </row>
    <row r="36" spans="1:8" s="15" customFormat="1" ht="57.9" customHeight="1" thickBot="1">
      <c r="A36" s="16"/>
      <c r="B36" s="37"/>
      <c r="C36" s="38" t="s">
        <v>231</v>
      </c>
      <c r="D36" s="172">
        <f>SUM(D34:D35)</f>
        <v>76</v>
      </c>
      <c r="E36" s="182"/>
      <c r="F36" s="180"/>
      <c r="G36" s="40">
        <f>SUM(G34:G35)</f>
        <v>76</v>
      </c>
      <c r="H36" s="16"/>
    </row>
    <row r="37" spans="1:8" ht="57.9" customHeight="1">
      <c r="A37" s="16"/>
      <c r="B37" s="16"/>
      <c r="C37" s="16"/>
      <c r="D37" s="16"/>
      <c r="E37" s="16"/>
      <c r="F37" s="16"/>
      <c r="G37" s="16"/>
      <c r="H37" s="16"/>
    </row>
    <row r="38" spans="1:8" ht="57.9" customHeight="1">
      <c r="A38" s="16"/>
      <c r="B38" s="16"/>
      <c r="C38" s="16"/>
      <c r="D38" s="16"/>
      <c r="E38" s="16"/>
      <c r="F38" s="16"/>
      <c r="G38" s="16"/>
      <c r="H38" s="16"/>
    </row>
    <row r="39" spans="1:8" ht="57.9" customHeight="1">
      <c r="A39" s="16"/>
      <c r="B39" s="16"/>
      <c r="C39" s="16"/>
      <c r="D39" s="16"/>
      <c r="E39" s="16"/>
      <c r="F39" s="16"/>
      <c r="G39" s="16"/>
      <c r="H39" s="16"/>
    </row>
    <row r="40" spans="1:8" ht="57.9" customHeight="1">
      <c r="A40" s="16"/>
      <c r="B40" s="16"/>
      <c r="C40" s="16"/>
      <c r="D40" s="16"/>
      <c r="E40" s="16"/>
      <c r="F40" s="16"/>
      <c r="G40" s="16"/>
      <c r="H40" s="16"/>
    </row>
    <row r="41" spans="1:8" ht="57.9" customHeight="1">
      <c r="A41" s="16"/>
      <c r="B41" s="16"/>
      <c r="C41" s="16"/>
      <c r="D41" s="16"/>
      <c r="E41" s="16"/>
      <c r="F41" s="16"/>
      <c r="G41" s="16"/>
      <c r="H41" s="16"/>
    </row>
    <row r="42" spans="1:8" ht="57.9" customHeight="1">
      <c r="A42" s="16"/>
      <c r="B42" s="16"/>
      <c r="C42" s="16"/>
      <c r="D42" s="16"/>
      <c r="E42" s="16"/>
      <c r="F42" s="16"/>
      <c r="G42" s="16"/>
      <c r="H42" s="16"/>
    </row>
    <row r="43" spans="1:8" ht="57.9" customHeight="1">
      <c r="A43" s="16"/>
      <c r="B43" s="16"/>
      <c r="C43" s="16"/>
      <c r="D43" s="16"/>
      <c r="E43" s="16"/>
      <c r="F43" s="16"/>
      <c r="G43" s="16"/>
      <c r="H43" s="16"/>
    </row>
    <row r="44" spans="1:8" ht="57.9" customHeight="1">
      <c r="A44" s="16"/>
      <c r="B44" s="16"/>
      <c r="C44" s="16"/>
      <c r="D44" s="16"/>
      <c r="E44" s="16"/>
      <c r="F44" s="16"/>
      <c r="G44" s="16"/>
      <c r="H44" s="16"/>
    </row>
    <row r="45" spans="1:8" ht="57.9" customHeight="1">
      <c r="A45" s="16"/>
      <c r="B45" s="16"/>
      <c r="C45" s="16"/>
      <c r="D45" s="16"/>
      <c r="E45" s="16"/>
      <c r="F45" s="16"/>
      <c r="G45" s="16"/>
      <c r="H45" s="16"/>
    </row>
    <row r="46" spans="1:8" ht="57.9" customHeight="1">
      <c r="A46" s="16"/>
      <c r="B46" s="16"/>
      <c r="C46" s="16"/>
      <c r="D46" s="16"/>
      <c r="E46" s="16"/>
      <c r="F46" s="16"/>
      <c r="G46" s="16"/>
      <c r="H46" s="16"/>
    </row>
    <row r="47" spans="1:8" ht="57.9" customHeight="1">
      <c r="A47" s="16"/>
      <c r="B47" s="16"/>
      <c r="C47" s="16"/>
      <c r="D47" s="16"/>
      <c r="E47" s="16"/>
      <c r="F47" s="16"/>
      <c r="G47" s="16"/>
      <c r="H47" s="16"/>
    </row>
    <row r="48" spans="1:8" ht="57.9" customHeight="1">
      <c r="A48" s="16"/>
      <c r="B48" s="16"/>
      <c r="C48" s="16"/>
      <c r="D48" s="16"/>
      <c r="E48" s="16"/>
      <c r="F48" s="16"/>
      <c r="G48" s="16"/>
      <c r="H48" s="16"/>
    </row>
    <row r="49" spans="1:8" ht="57.9" customHeight="1">
      <c r="A49" s="16"/>
      <c r="B49" s="16"/>
      <c r="C49" s="16"/>
      <c r="D49" s="16"/>
      <c r="E49" s="16"/>
      <c r="F49" s="16"/>
      <c r="G49" s="16"/>
      <c r="H49" s="16"/>
    </row>
    <row r="50" spans="1:8" ht="57.9" customHeight="1">
      <c r="A50" s="16"/>
      <c r="B50" s="16"/>
      <c r="C50" s="16"/>
      <c r="D50" s="16"/>
      <c r="E50" s="16"/>
      <c r="F50" s="16"/>
      <c r="G50" s="16"/>
      <c r="H50" s="16"/>
    </row>
    <row r="51" spans="1:8" ht="57.9" customHeight="1">
      <c r="A51" s="16"/>
      <c r="B51" s="16"/>
      <c r="C51" s="16"/>
      <c r="D51" s="16"/>
      <c r="E51" s="16"/>
      <c r="F51" s="16"/>
      <c r="G51" s="16"/>
      <c r="H51" s="16"/>
    </row>
    <row r="52" spans="1:8" ht="57.9" customHeight="1">
      <c r="A52" s="16"/>
      <c r="B52" s="16"/>
      <c r="C52" s="16"/>
      <c r="D52" s="16"/>
      <c r="E52" s="16"/>
      <c r="F52" s="16"/>
      <c r="G52" s="16"/>
      <c r="H52" s="16"/>
    </row>
    <row r="53" spans="1:8" ht="57.9" customHeight="1">
      <c r="A53" s="16"/>
      <c r="B53" s="16"/>
      <c r="C53" s="16"/>
      <c r="D53" s="16"/>
      <c r="E53" s="16"/>
      <c r="F53" s="16"/>
      <c r="G53" s="16"/>
      <c r="H53" s="16"/>
    </row>
    <row r="54" spans="1:8" ht="57.9" customHeight="1">
      <c r="A54" s="16"/>
      <c r="B54" s="16"/>
      <c r="C54" s="16"/>
      <c r="D54" s="16"/>
      <c r="E54" s="16"/>
      <c r="F54" s="16"/>
      <c r="G54" s="16"/>
      <c r="H54" s="16"/>
    </row>
    <row r="55" spans="1:8" ht="57.9" customHeight="1">
      <c r="A55" s="16"/>
      <c r="B55" s="16"/>
      <c r="C55" s="16"/>
      <c r="D55" s="16"/>
      <c r="E55" s="16"/>
      <c r="F55" s="16"/>
      <c r="G55" s="16"/>
      <c r="H55" s="16"/>
    </row>
    <row r="56" spans="1:8" ht="57.9" customHeight="1">
      <c r="A56" s="16"/>
      <c r="B56" s="16"/>
      <c r="C56" s="16"/>
      <c r="D56" s="16"/>
      <c r="E56" s="16"/>
      <c r="F56" s="16"/>
      <c r="G56" s="16"/>
      <c r="H56" s="16"/>
    </row>
    <row r="57" spans="1:8" ht="57.9" customHeight="1">
      <c r="A57" s="16"/>
      <c r="B57" s="16"/>
      <c r="C57" s="16"/>
      <c r="D57" s="16"/>
      <c r="E57" s="16"/>
      <c r="F57" s="16"/>
      <c r="G57" s="16"/>
      <c r="H57" s="16"/>
    </row>
    <row r="58" spans="1:8" ht="57.9" customHeight="1">
      <c r="A58" s="16"/>
      <c r="B58" s="16"/>
      <c r="C58" s="16"/>
      <c r="D58" s="16"/>
      <c r="E58" s="16"/>
      <c r="F58" s="16"/>
      <c r="G58" s="16"/>
      <c r="H58" s="16"/>
    </row>
    <row r="59" spans="1:8" ht="57.9" customHeight="1">
      <c r="A59" s="16"/>
      <c r="B59" s="16"/>
      <c r="C59" s="16"/>
      <c r="D59" s="16"/>
      <c r="E59" s="16"/>
      <c r="F59" s="16"/>
      <c r="G59" s="16"/>
      <c r="H59" s="16"/>
    </row>
    <row r="60" spans="1:8" ht="57.9" customHeight="1">
      <c r="A60" s="16"/>
      <c r="B60" s="16"/>
      <c r="C60" s="16"/>
      <c r="D60" s="16"/>
      <c r="E60" s="16"/>
      <c r="F60" s="16"/>
      <c r="G60" s="16"/>
      <c r="H60" s="16"/>
    </row>
    <row r="61" spans="1:8" ht="57.9" customHeight="1">
      <c r="A61" s="16"/>
      <c r="B61" s="16"/>
      <c r="C61" s="16"/>
      <c r="D61" s="16"/>
      <c r="E61" s="16"/>
      <c r="F61" s="16"/>
      <c r="G61" s="16"/>
      <c r="H61" s="16"/>
    </row>
    <row r="62" spans="1:8" ht="57.9" customHeight="1">
      <c r="A62" s="16"/>
      <c r="B62" s="16"/>
      <c r="C62" s="16"/>
      <c r="D62" s="16"/>
      <c r="E62" s="16"/>
      <c r="F62" s="16"/>
      <c r="G62" s="16"/>
      <c r="H62" s="16"/>
    </row>
    <row r="63" spans="1:8" ht="57.9" customHeight="1">
      <c r="A63" s="16"/>
      <c r="B63" s="16"/>
      <c r="C63" s="16"/>
      <c r="D63" s="16"/>
      <c r="E63" s="16"/>
      <c r="F63" s="16"/>
      <c r="G63" s="16"/>
      <c r="H63" s="16"/>
    </row>
    <row r="64" spans="1:8" ht="57.9" customHeight="1">
      <c r="A64" s="16"/>
      <c r="B64" s="16"/>
      <c r="C64" s="16"/>
      <c r="D64" s="16"/>
      <c r="E64" s="16"/>
      <c r="F64" s="16"/>
      <c r="G64" s="16"/>
      <c r="H64" s="16"/>
    </row>
    <row r="65" spans="1:8" ht="57.9" customHeight="1">
      <c r="A65" s="16"/>
      <c r="B65" s="16"/>
      <c r="C65" s="16"/>
      <c r="D65" s="16"/>
      <c r="E65" s="16"/>
      <c r="F65" s="16"/>
      <c r="G65" s="16"/>
      <c r="H65" s="16"/>
    </row>
    <row r="66" spans="1:8" ht="57.9" customHeight="1">
      <c r="A66" s="16"/>
      <c r="B66" s="16"/>
      <c r="C66" s="16"/>
      <c r="D66" s="16"/>
      <c r="E66" s="16"/>
      <c r="F66" s="16"/>
      <c r="G66" s="16"/>
      <c r="H66" s="16"/>
    </row>
    <row r="67" spans="1:8" ht="57.9" customHeight="1">
      <c r="A67" s="16"/>
      <c r="B67" s="16"/>
      <c r="C67" s="16"/>
      <c r="D67" s="16"/>
      <c r="E67" s="16"/>
      <c r="F67" s="16"/>
      <c r="G67" s="16"/>
      <c r="H67" s="16"/>
    </row>
    <row r="68" spans="1:8" ht="57.9" customHeight="1">
      <c r="A68" s="16"/>
      <c r="B68" s="16"/>
      <c r="C68" s="16"/>
      <c r="D68" s="16"/>
      <c r="E68" s="16"/>
      <c r="F68" s="16"/>
      <c r="G68" s="16"/>
      <c r="H68" s="16"/>
    </row>
    <row r="69" spans="1:8" ht="57.9" customHeight="1">
      <c r="A69" s="16"/>
      <c r="B69" s="16"/>
      <c r="C69" s="16"/>
      <c r="D69" s="16"/>
      <c r="E69" s="16"/>
      <c r="F69" s="16"/>
      <c r="G69" s="16"/>
      <c r="H69" s="16"/>
    </row>
    <row r="70" spans="1:8" ht="57.9" customHeight="1">
      <c r="A70" s="16"/>
      <c r="B70" s="16"/>
      <c r="C70" s="16"/>
      <c r="D70" s="16"/>
      <c r="E70" s="16"/>
      <c r="F70" s="16"/>
      <c r="G70" s="16"/>
      <c r="H70" s="16"/>
    </row>
    <row r="71" spans="1:8" ht="57.9" customHeight="1">
      <c r="A71" s="16"/>
      <c r="B71" s="16"/>
      <c r="C71" s="16"/>
      <c r="D71" s="16"/>
      <c r="E71" s="16"/>
      <c r="F71" s="16"/>
      <c r="G71" s="16"/>
      <c r="H71" s="16"/>
    </row>
    <row r="72" spans="1:8" ht="57.9" customHeight="1">
      <c r="A72" s="16"/>
      <c r="B72" s="16"/>
      <c r="C72" s="16"/>
      <c r="D72" s="16"/>
      <c r="E72" s="16"/>
      <c r="F72" s="16"/>
      <c r="G72" s="16"/>
      <c r="H72" s="16"/>
    </row>
    <row r="73" spans="1:8" ht="57.9" customHeight="1">
      <c r="A73" s="16"/>
      <c r="B73" s="16"/>
      <c r="C73" s="16"/>
      <c r="D73" s="16"/>
      <c r="E73" s="16"/>
      <c r="F73" s="16"/>
      <c r="G73" s="16"/>
      <c r="H73" s="16"/>
    </row>
    <row r="74" spans="1:8" ht="57.9" customHeight="1">
      <c r="A74" s="16"/>
      <c r="B74" s="16"/>
      <c r="C74" s="16"/>
      <c r="D74" s="16"/>
      <c r="E74" s="16"/>
      <c r="F74" s="16"/>
      <c r="G74" s="16"/>
      <c r="H74" s="16"/>
    </row>
    <row r="75" spans="1:8" ht="57.9" customHeight="1">
      <c r="A75" s="16"/>
      <c r="B75" s="16"/>
      <c r="C75" s="16"/>
      <c r="D75" s="16"/>
      <c r="E75" s="16"/>
      <c r="F75" s="16"/>
      <c r="G75" s="16"/>
      <c r="H75" s="16"/>
    </row>
    <row r="76" spans="1:8" ht="57.9" customHeight="1">
      <c r="A76" s="16"/>
      <c r="B76" s="16"/>
      <c r="C76" s="16"/>
      <c r="D76" s="16"/>
      <c r="E76" s="16"/>
      <c r="F76" s="16"/>
      <c r="G76" s="16"/>
      <c r="H76" s="16"/>
    </row>
    <row r="77" spans="1:8" ht="57.9" customHeight="1">
      <c r="A77" s="16"/>
      <c r="B77" s="16"/>
      <c r="C77" s="16"/>
      <c r="D77" s="16"/>
      <c r="E77" s="16"/>
      <c r="F77" s="16"/>
      <c r="G77" s="16"/>
      <c r="H77" s="16"/>
    </row>
    <row r="78" spans="1:8" ht="57.9" customHeight="1">
      <c r="A78" s="16"/>
      <c r="B78" s="16"/>
      <c r="C78" s="16"/>
      <c r="D78" s="16"/>
      <c r="E78" s="16"/>
      <c r="F78" s="16"/>
      <c r="G78" s="16"/>
      <c r="H78" s="16"/>
    </row>
    <row r="79" spans="1:8" ht="57.9" customHeight="1">
      <c r="A79" s="16"/>
      <c r="B79" s="16"/>
      <c r="C79" s="16"/>
      <c r="D79" s="16"/>
      <c r="E79" s="16"/>
      <c r="F79" s="16"/>
      <c r="G79" s="16"/>
      <c r="H79" s="16"/>
    </row>
    <row r="80" spans="1:8" ht="57.9" customHeight="1">
      <c r="A80" s="16"/>
      <c r="B80" s="16"/>
      <c r="C80" s="16"/>
      <c r="D80" s="16"/>
      <c r="E80" s="16"/>
      <c r="F80" s="16"/>
      <c r="G80" s="16"/>
      <c r="H80" s="16"/>
    </row>
    <row r="81" spans="1:8" ht="57.9" customHeight="1">
      <c r="A81" s="16"/>
      <c r="B81" s="16"/>
      <c r="C81" s="16"/>
      <c r="D81" s="16"/>
      <c r="E81" s="16"/>
      <c r="F81" s="16"/>
      <c r="G81" s="16"/>
      <c r="H81" s="16"/>
    </row>
    <row r="82" spans="1:8" ht="57.9" customHeight="1">
      <c r="A82" s="16"/>
      <c r="B82" s="16"/>
      <c r="C82" s="16"/>
      <c r="D82" s="16"/>
      <c r="E82" s="16"/>
      <c r="F82" s="16"/>
      <c r="G82" s="16"/>
      <c r="H82" s="16"/>
    </row>
    <row r="83" spans="1:8" ht="57.9" customHeight="1">
      <c r="A83" s="16"/>
      <c r="B83" s="16"/>
      <c r="C83" s="16"/>
      <c r="D83" s="16"/>
      <c r="E83" s="16"/>
      <c r="F83" s="16"/>
      <c r="G83" s="16"/>
      <c r="H83" s="16"/>
    </row>
    <row r="84" spans="1:8" ht="57.9" customHeight="1">
      <c r="A84" s="16"/>
      <c r="B84" s="16"/>
      <c r="C84" s="16"/>
      <c r="D84" s="16"/>
      <c r="E84" s="16"/>
      <c r="F84" s="16"/>
      <c r="G84" s="16"/>
      <c r="H84" s="16"/>
    </row>
    <row r="85" spans="1:8" ht="57.9" customHeight="1">
      <c r="A85" s="16"/>
      <c r="B85" s="16"/>
      <c r="C85" s="16"/>
      <c r="D85" s="16"/>
      <c r="E85" s="16"/>
      <c r="F85" s="16"/>
      <c r="G85" s="16"/>
      <c r="H85" s="16"/>
    </row>
    <row r="86" spans="1:8" ht="57.9" customHeight="1">
      <c r="A86" s="16"/>
      <c r="B86" s="16"/>
      <c r="C86" s="16"/>
      <c r="D86" s="16"/>
      <c r="E86" s="16"/>
      <c r="F86" s="16"/>
      <c r="G86" s="16"/>
      <c r="H86" s="16"/>
    </row>
    <row r="87" spans="1:8" ht="57.9" customHeight="1">
      <c r="A87" s="16"/>
      <c r="B87" s="16"/>
      <c r="C87" s="16"/>
      <c r="D87" s="16"/>
      <c r="E87" s="16"/>
      <c r="F87" s="16"/>
      <c r="G87" s="16"/>
      <c r="H87" s="16"/>
    </row>
    <row r="88" spans="1:8" ht="57.9" customHeight="1">
      <c r="A88" s="16"/>
      <c r="B88" s="16"/>
      <c r="C88" s="16"/>
      <c r="D88" s="16"/>
      <c r="E88" s="16"/>
      <c r="F88" s="16"/>
      <c r="G88" s="16"/>
      <c r="H88" s="16"/>
    </row>
    <row r="89" spans="1:8" ht="57.9" customHeight="1">
      <c r="A89" s="16"/>
      <c r="B89" s="16"/>
      <c r="C89" s="16"/>
      <c r="D89" s="16"/>
      <c r="E89" s="16"/>
      <c r="F89" s="16"/>
      <c r="G89" s="16"/>
      <c r="H89" s="16"/>
    </row>
    <row r="90" spans="1:8" ht="57.9" customHeight="1">
      <c r="A90" s="16"/>
      <c r="B90" s="16"/>
      <c r="C90" s="16"/>
      <c r="D90" s="16"/>
      <c r="E90" s="16"/>
      <c r="F90" s="16"/>
      <c r="G90" s="16"/>
      <c r="H90" s="16"/>
    </row>
    <row r="91" spans="1:8" ht="57.9" customHeight="1">
      <c r="A91" s="16"/>
      <c r="B91" s="16"/>
      <c r="C91" s="16"/>
      <c r="D91" s="16"/>
      <c r="E91" s="16"/>
      <c r="F91" s="16"/>
      <c r="G91" s="16"/>
      <c r="H91" s="16"/>
    </row>
    <row r="92" spans="1:8" ht="57.9" customHeight="1">
      <c r="A92" s="16"/>
      <c r="B92" s="16"/>
      <c r="C92" s="16"/>
      <c r="D92" s="16"/>
      <c r="E92" s="16"/>
      <c r="F92" s="16"/>
      <c r="G92" s="16"/>
      <c r="H92" s="16"/>
    </row>
    <row r="93" spans="1:8" ht="57.9" customHeight="1">
      <c r="A93" s="16"/>
      <c r="B93" s="16"/>
      <c r="C93" s="16"/>
      <c r="D93" s="16"/>
      <c r="E93" s="16"/>
      <c r="F93" s="16"/>
      <c r="G93" s="16"/>
      <c r="H93" s="16"/>
    </row>
    <row r="94" spans="1:8" ht="57.9" customHeight="1">
      <c r="A94" s="16"/>
      <c r="B94" s="16"/>
      <c r="C94" s="16"/>
      <c r="D94" s="16"/>
      <c r="E94" s="16"/>
      <c r="F94" s="16"/>
      <c r="G94" s="16"/>
      <c r="H94" s="16"/>
    </row>
    <row r="95" spans="1:8" ht="57.9" customHeight="1">
      <c r="A95" s="16"/>
      <c r="B95" s="16"/>
      <c r="C95" s="16"/>
      <c r="D95" s="16"/>
      <c r="E95" s="16"/>
      <c r="F95" s="16"/>
      <c r="G95" s="16"/>
      <c r="H95" s="16"/>
    </row>
    <row r="96" spans="1:8" ht="57.9" customHeight="1">
      <c r="A96" s="16"/>
      <c r="B96" s="16"/>
      <c r="C96" s="16"/>
      <c r="D96" s="16"/>
      <c r="E96" s="16"/>
      <c r="F96" s="16"/>
      <c r="G96" s="16"/>
      <c r="H96" s="16"/>
    </row>
    <row r="97" spans="1:8" ht="57.9" customHeight="1">
      <c r="A97" s="16"/>
      <c r="B97" s="16"/>
      <c r="C97" s="16"/>
      <c r="D97" s="16"/>
      <c r="E97" s="16"/>
      <c r="F97" s="16"/>
      <c r="G97" s="16"/>
      <c r="H97" s="16"/>
    </row>
    <row r="98" spans="1:8" ht="57.9" customHeight="1">
      <c r="A98" s="16"/>
      <c r="B98" s="16"/>
      <c r="C98" s="16"/>
      <c r="D98" s="16"/>
      <c r="E98" s="16"/>
      <c r="F98" s="16"/>
      <c r="G98" s="16"/>
      <c r="H98" s="16"/>
    </row>
    <row r="99" spans="1:8" ht="57.9" customHeight="1">
      <c r="A99" s="16"/>
      <c r="B99" s="16"/>
      <c r="C99" s="16"/>
      <c r="D99" s="16"/>
      <c r="E99" s="16"/>
      <c r="F99" s="16"/>
      <c r="G99" s="16"/>
      <c r="H99" s="16"/>
    </row>
    <row r="100" spans="1:8" ht="57.9" customHeight="1">
      <c r="A100" s="16"/>
      <c r="B100" s="16"/>
      <c r="C100" s="16"/>
      <c r="D100" s="16"/>
      <c r="E100" s="16"/>
      <c r="F100" s="16"/>
      <c r="G100" s="16"/>
      <c r="H100" s="16"/>
    </row>
    <row r="101" spans="1:8" ht="57.9" customHeight="1">
      <c r="A101" s="16"/>
      <c r="B101" s="16"/>
      <c r="C101" s="16"/>
      <c r="D101" s="16"/>
      <c r="E101" s="16"/>
      <c r="F101" s="16"/>
      <c r="G101" s="16"/>
      <c r="H101" s="16"/>
    </row>
    <row r="102" spans="1:8" ht="50.15" customHeight="1">
      <c r="A102" s="16"/>
      <c r="B102" s="16"/>
      <c r="C102" s="16"/>
      <c r="D102" s="16"/>
      <c r="E102" s="16"/>
      <c r="F102" s="16"/>
      <c r="G102" s="16"/>
      <c r="H102" s="16"/>
    </row>
    <row r="103" spans="1:8" ht="50.15" customHeight="1">
      <c r="A103" s="16"/>
      <c r="B103" s="16"/>
      <c r="C103" s="16"/>
      <c r="D103" s="16"/>
      <c r="E103" s="16"/>
      <c r="F103" s="16"/>
      <c r="G103" s="16"/>
      <c r="H103" s="16"/>
    </row>
    <row r="104" spans="1:8" ht="50.15" customHeight="1">
      <c r="A104" s="16"/>
      <c r="B104" s="16"/>
      <c r="C104" s="16"/>
      <c r="D104" s="16"/>
      <c r="E104" s="16"/>
      <c r="F104" s="16"/>
      <c r="G104" s="16"/>
      <c r="H104" s="16"/>
    </row>
    <row r="105" spans="1:8" ht="50.15" customHeight="1">
      <c r="A105" s="16"/>
      <c r="B105" s="16"/>
      <c r="C105" s="16"/>
      <c r="D105" s="16"/>
      <c r="E105" s="16"/>
      <c r="F105" s="16"/>
      <c r="G105" s="16"/>
      <c r="H105" s="16"/>
    </row>
    <row r="106" spans="1:8" ht="50.15" customHeight="1">
      <c r="A106" s="16"/>
      <c r="B106" s="16"/>
      <c r="C106" s="16"/>
      <c r="D106" s="16"/>
      <c r="E106" s="16"/>
      <c r="F106" s="16"/>
      <c r="G106" s="16"/>
      <c r="H106" s="16"/>
    </row>
    <row r="107" spans="1:8" ht="50.15" customHeight="1">
      <c r="A107" s="16"/>
      <c r="B107" s="16"/>
      <c r="C107" s="16"/>
      <c r="D107" s="16"/>
      <c r="E107" s="16"/>
      <c r="F107" s="16"/>
      <c r="G107" s="16"/>
      <c r="H107" s="16"/>
    </row>
    <row r="108" spans="1:8" ht="50.15" customHeight="1">
      <c r="A108" s="16"/>
      <c r="B108" s="16"/>
      <c r="C108" s="16"/>
      <c r="D108" s="16"/>
      <c r="E108" s="16"/>
      <c r="F108" s="16"/>
      <c r="G108" s="16"/>
      <c r="H108" s="16"/>
    </row>
    <row r="109" spans="1:8" ht="50.15" customHeight="1">
      <c r="A109" s="16"/>
      <c r="B109" s="16"/>
      <c r="C109" s="16"/>
      <c r="D109" s="16"/>
      <c r="E109" s="16"/>
      <c r="F109" s="16"/>
      <c r="G109" s="16"/>
      <c r="H109" s="16"/>
    </row>
    <row r="110" spans="1:8" ht="50.15" customHeight="1">
      <c r="A110" s="16"/>
      <c r="B110" s="16"/>
      <c r="C110" s="16"/>
      <c r="D110" s="16"/>
      <c r="E110" s="16"/>
      <c r="F110" s="16"/>
      <c r="G110" s="16"/>
      <c r="H110" s="16"/>
    </row>
    <row r="111" spans="1:8" ht="50.15" customHeight="1">
      <c r="A111" s="16"/>
      <c r="B111" s="16"/>
      <c r="C111" s="16"/>
      <c r="D111" s="16"/>
      <c r="E111" s="16"/>
      <c r="F111" s="16"/>
      <c r="G111" s="16"/>
      <c r="H111" s="16"/>
    </row>
    <row r="112" spans="1:8" ht="50.15" customHeight="1">
      <c r="A112" s="16"/>
      <c r="B112" s="16"/>
      <c r="C112" s="16"/>
      <c r="D112" s="16"/>
      <c r="E112" s="16"/>
      <c r="F112" s="16"/>
      <c r="G112" s="16"/>
      <c r="H112" s="16"/>
    </row>
    <row r="113" spans="1:8" ht="50.15" customHeight="1">
      <c r="A113" s="16"/>
      <c r="B113" s="16"/>
      <c r="C113" s="16"/>
      <c r="D113" s="16"/>
      <c r="E113" s="16"/>
      <c r="F113" s="16"/>
      <c r="G113" s="16"/>
      <c r="H113" s="16"/>
    </row>
    <row r="114" spans="1:8" ht="50.15" customHeight="1">
      <c r="A114" s="16"/>
      <c r="B114" s="16"/>
      <c r="C114" s="16"/>
      <c r="D114" s="16"/>
      <c r="E114" s="16"/>
      <c r="F114" s="16"/>
      <c r="G114" s="16"/>
      <c r="H114" s="16"/>
    </row>
    <row r="115" spans="1:8" ht="50.15" customHeight="1">
      <c r="A115" s="16"/>
      <c r="B115" s="16"/>
      <c r="C115" s="16"/>
      <c r="D115" s="16"/>
      <c r="E115" s="16"/>
      <c r="F115" s="16"/>
      <c r="G115" s="16"/>
      <c r="H115" s="16"/>
    </row>
    <row r="116" spans="1:8" ht="50.15" customHeight="1">
      <c r="A116" s="16"/>
      <c r="B116" s="16"/>
      <c r="C116" s="16"/>
      <c r="D116" s="16"/>
      <c r="E116" s="16"/>
      <c r="F116" s="16"/>
      <c r="G116" s="16"/>
      <c r="H116" s="16"/>
    </row>
    <row r="117" spans="1:8" ht="50.15" customHeight="1">
      <c r="A117" s="16"/>
      <c r="B117" s="16"/>
      <c r="C117" s="16"/>
      <c r="D117" s="16"/>
      <c r="E117" s="16"/>
      <c r="F117" s="16"/>
      <c r="G117" s="16"/>
      <c r="H117" s="16"/>
    </row>
    <row r="118" spans="1:8" ht="50.15" customHeight="1">
      <c r="A118" s="16"/>
      <c r="B118" s="16"/>
      <c r="C118" s="16"/>
      <c r="D118" s="16"/>
      <c r="E118" s="16"/>
      <c r="F118" s="16"/>
      <c r="G118" s="16"/>
      <c r="H118" s="16"/>
    </row>
    <row r="119" spans="1:8" ht="50.15" customHeight="1">
      <c r="A119" s="16"/>
      <c r="B119" s="16"/>
      <c r="C119" s="16"/>
      <c r="D119" s="16"/>
      <c r="E119" s="16"/>
      <c r="F119" s="16"/>
      <c r="G119" s="16"/>
      <c r="H119" s="16"/>
    </row>
    <row r="120" spans="1:8" ht="50.15" customHeight="1">
      <c r="A120" s="16"/>
      <c r="B120" s="16"/>
      <c r="C120" s="16"/>
      <c r="D120" s="16"/>
      <c r="E120" s="16"/>
      <c r="F120" s="16"/>
      <c r="G120" s="16"/>
      <c r="H120" s="16"/>
    </row>
    <row r="121" spans="1:8" ht="50.15" customHeight="1">
      <c r="A121" s="16"/>
      <c r="B121" s="16"/>
      <c r="C121" s="16"/>
      <c r="D121" s="16"/>
      <c r="E121" s="16"/>
      <c r="F121" s="16"/>
      <c r="G121" s="16"/>
      <c r="H121" s="16"/>
    </row>
    <row r="122" spans="1:8" ht="50.15" customHeight="1">
      <c r="A122" s="16"/>
      <c r="B122" s="16"/>
      <c r="C122" s="16"/>
      <c r="D122" s="16"/>
      <c r="E122" s="16"/>
      <c r="F122" s="16"/>
      <c r="G122" s="16"/>
      <c r="H122" s="16"/>
    </row>
    <row r="123" spans="1:8" ht="50.15" customHeight="1">
      <c r="A123" s="16"/>
      <c r="B123" s="16"/>
      <c r="C123" s="16"/>
      <c r="D123" s="16"/>
      <c r="E123" s="16"/>
      <c r="F123" s="16"/>
      <c r="G123" s="16"/>
      <c r="H123" s="16"/>
    </row>
    <row r="124" spans="1:8" ht="50.15" customHeight="1">
      <c r="A124" s="16"/>
      <c r="B124" s="16"/>
      <c r="C124" s="16"/>
      <c r="D124" s="16"/>
      <c r="E124" s="16"/>
      <c r="F124" s="16"/>
      <c r="G124" s="16"/>
      <c r="H124" s="16"/>
    </row>
    <row r="125" spans="1:8" ht="50.15" customHeight="1">
      <c r="A125" s="16"/>
      <c r="B125" s="16"/>
      <c r="C125" s="16"/>
      <c r="D125" s="16"/>
      <c r="E125" s="16"/>
      <c r="F125" s="16"/>
      <c r="G125" s="16"/>
      <c r="H125" s="16"/>
    </row>
    <row r="126" spans="1:8" ht="50.15" customHeight="1">
      <c r="A126" s="16"/>
      <c r="B126" s="16"/>
      <c r="C126" s="16"/>
      <c r="D126" s="16"/>
      <c r="E126" s="16"/>
      <c r="F126" s="16"/>
      <c r="G126" s="16"/>
      <c r="H126" s="16"/>
    </row>
    <row r="127" spans="1:8" ht="50.15" customHeight="1">
      <c r="A127" s="16"/>
      <c r="B127" s="16"/>
      <c r="C127" s="16"/>
      <c r="D127" s="16"/>
      <c r="E127" s="16"/>
      <c r="F127" s="16"/>
      <c r="G127" s="16"/>
      <c r="H127" s="16"/>
    </row>
    <row r="128" spans="1:8" ht="50.15" customHeight="1">
      <c r="A128" s="16"/>
      <c r="B128" s="16"/>
      <c r="C128" s="16"/>
      <c r="D128" s="16"/>
      <c r="E128" s="16"/>
      <c r="F128" s="16"/>
      <c r="G128" s="16"/>
      <c r="H128" s="16"/>
    </row>
    <row r="129" spans="1:8" ht="50.15" customHeight="1">
      <c r="A129" s="16"/>
      <c r="B129" s="16"/>
      <c r="C129" s="16"/>
      <c r="D129" s="16"/>
      <c r="E129" s="16"/>
      <c r="F129" s="16"/>
      <c r="G129" s="16"/>
      <c r="H129" s="16"/>
    </row>
    <row r="130" spans="1:8" ht="50.15" customHeight="1">
      <c r="A130" s="16"/>
      <c r="B130" s="16"/>
      <c r="C130" s="16"/>
      <c r="D130" s="16"/>
      <c r="E130" s="16"/>
      <c r="F130" s="16"/>
      <c r="G130" s="16"/>
      <c r="H130" s="16"/>
    </row>
    <row r="131" spans="1:8" ht="50.15" customHeight="1">
      <c r="A131" s="16"/>
      <c r="B131" s="16"/>
      <c r="C131" s="16"/>
      <c r="D131" s="16"/>
      <c r="E131" s="16"/>
      <c r="F131" s="16"/>
      <c r="G131" s="16"/>
      <c r="H131" s="16"/>
    </row>
    <row r="132" spans="1:8" ht="50.15" customHeight="1">
      <c r="A132" s="16"/>
      <c r="B132" s="16"/>
      <c r="C132" s="16"/>
      <c r="D132" s="16"/>
      <c r="E132" s="16"/>
      <c r="F132" s="16"/>
      <c r="G132" s="16"/>
      <c r="H132" s="16"/>
    </row>
    <row r="133" spans="1:8" ht="50.15" customHeight="1">
      <c r="A133" s="16"/>
      <c r="B133" s="16"/>
      <c r="C133" s="16"/>
      <c r="D133" s="16"/>
      <c r="E133" s="16"/>
      <c r="F133" s="16"/>
      <c r="G133" s="16"/>
      <c r="H133" s="16"/>
    </row>
    <row r="134" spans="1:8" ht="50.15" customHeight="1">
      <c r="A134" s="16"/>
      <c r="B134" s="16"/>
      <c r="C134" s="16"/>
      <c r="D134" s="16"/>
      <c r="E134" s="16"/>
      <c r="F134" s="16"/>
      <c r="G134" s="16"/>
      <c r="H134" s="16"/>
    </row>
    <row r="135" spans="1:8" ht="50.15" customHeight="1">
      <c r="A135" s="16"/>
      <c r="B135" s="16"/>
      <c r="C135" s="16"/>
      <c r="D135" s="16"/>
      <c r="E135" s="16"/>
      <c r="F135" s="16"/>
      <c r="G135" s="16"/>
      <c r="H135" s="16"/>
    </row>
    <row r="136" spans="1:8" ht="50.15" customHeight="1">
      <c r="A136" s="16"/>
      <c r="B136" s="16"/>
      <c r="C136" s="16"/>
      <c r="D136" s="16"/>
      <c r="E136" s="16"/>
      <c r="F136" s="16"/>
      <c r="G136" s="16"/>
      <c r="H136" s="16"/>
    </row>
    <row r="137" spans="1:8" ht="50.15" customHeight="1">
      <c r="A137" s="16"/>
      <c r="B137" s="16"/>
      <c r="C137" s="16"/>
      <c r="D137" s="16"/>
      <c r="E137" s="16"/>
      <c r="F137" s="16"/>
      <c r="G137" s="16"/>
      <c r="H137" s="16"/>
    </row>
    <row r="138" spans="1:8" ht="50.15" customHeight="1">
      <c r="A138" s="16"/>
      <c r="B138" s="16"/>
      <c r="C138" s="16"/>
      <c r="D138" s="16"/>
      <c r="E138" s="16"/>
      <c r="F138" s="16"/>
      <c r="G138" s="16"/>
      <c r="H138" s="16"/>
    </row>
    <row r="139" spans="1:8" ht="50.15" customHeight="1">
      <c r="A139" s="16"/>
      <c r="B139" s="16"/>
      <c r="C139" s="16"/>
      <c r="D139" s="16"/>
      <c r="E139" s="16"/>
      <c r="F139" s="16"/>
      <c r="G139" s="16"/>
      <c r="H139" s="16"/>
    </row>
    <row r="140" spans="1:8" ht="50.15" customHeight="1">
      <c r="A140" s="16"/>
      <c r="B140" s="16"/>
      <c r="C140" s="16"/>
      <c r="D140" s="16"/>
      <c r="E140" s="16"/>
      <c r="F140" s="16"/>
      <c r="G140" s="16"/>
      <c r="H140" s="16"/>
    </row>
    <row r="141" spans="1:8" ht="50.15" customHeight="1">
      <c r="A141" s="16"/>
      <c r="B141" s="16"/>
      <c r="C141" s="16"/>
      <c r="D141" s="16"/>
      <c r="E141" s="16"/>
      <c r="F141" s="16"/>
      <c r="G141" s="16"/>
      <c r="H141" s="16"/>
    </row>
    <row r="142" spans="1:8" ht="50.15" customHeight="1">
      <c r="A142" s="16"/>
      <c r="B142" s="16"/>
      <c r="C142" s="16"/>
      <c r="D142" s="16"/>
      <c r="E142" s="16"/>
      <c r="F142" s="16"/>
      <c r="G142" s="16"/>
      <c r="H142" s="16"/>
    </row>
    <row r="143" spans="1:8" ht="50.15" customHeight="1">
      <c r="A143" s="16"/>
      <c r="B143" s="16"/>
      <c r="C143" s="16"/>
      <c r="D143" s="16"/>
      <c r="E143" s="16"/>
      <c r="F143" s="16"/>
      <c r="G143" s="16"/>
      <c r="H143" s="16"/>
    </row>
    <row r="144" spans="1:8" ht="50.15" customHeight="1">
      <c r="A144" s="16"/>
      <c r="B144" s="16"/>
      <c r="C144" s="16"/>
      <c r="D144" s="16"/>
      <c r="E144" s="16"/>
      <c r="F144" s="16"/>
      <c r="G144" s="16"/>
      <c r="H144" s="16"/>
    </row>
    <row r="145" spans="1:8" ht="50.15" customHeight="1">
      <c r="A145" s="16"/>
      <c r="B145" s="16"/>
      <c r="C145" s="16"/>
      <c r="D145" s="16"/>
      <c r="E145" s="16"/>
      <c r="F145" s="16"/>
      <c r="G145" s="16"/>
      <c r="H145" s="16"/>
    </row>
    <row r="146" spans="1:8" ht="50.15" customHeight="1">
      <c r="A146" s="16"/>
      <c r="B146" s="16"/>
      <c r="C146" s="16"/>
      <c r="D146" s="16"/>
      <c r="E146" s="16"/>
      <c r="F146" s="16"/>
      <c r="G146" s="16"/>
      <c r="H146" s="16"/>
    </row>
    <row r="147" spans="1:8" ht="50.15" customHeight="1">
      <c r="A147" s="16"/>
      <c r="B147" s="16"/>
      <c r="C147" s="16"/>
      <c r="D147" s="16"/>
      <c r="E147" s="16"/>
      <c r="F147" s="16"/>
      <c r="G147" s="16"/>
      <c r="H147" s="16"/>
    </row>
    <row r="148" spans="1:8" ht="50.15" customHeight="1">
      <c r="A148" s="16"/>
      <c r="B148" s="16"/>
      <c r="C148" s="16"/>
      <c r="D148" s="16"/>
      <c r="E148" s="16"/>
      <c r="F148" s="16"/>
      <c r="G148" s="16"/>
      <c r="H148" s="16"/>
    </row>
    <row r="149" spans="1:8" ht="50.15" customHeight="1">
      <c r="A149" s="16"/>
      <c r="B149" s="16"/>
      <c r="C149" s="16"/>
      <c r="D149" s="16"/>
      <c r="E149" s="16"/>
      <c r="F149" s="16"/>
      <c r="G149" s="16"/>
      <c r="H149" s="16"/>
    </row>
    <row r="150" spans="1:8" ht="50.15" customHeight="1">
      <c r="A150" s="16"/>
      <c r="B150" s="16"/>
      <c r="C150" s="16"/>
      <c r="D150" s="16"/>
      <c r="E150" s="16"/>
      <c r="F150" s="16"/>
      <c r="G150" s="16"/>
      <c r="H150" s="16"/>
    </row>
    <row r="151" spans="1:8" ht="50.15" customHeight="1">
      <c r="A151" s="16"/>
      <c r="B151" s="16"/>
      <c r="C151" s="16"/>
      <c r="D151" s="16"/>
      <c r="E151" s="16"/>
      <c r="F151" s="16"/>
      <c r="G151" s="16"/>
      <c r="H151" s="16"/>
    </row>
    <row r="152" spans="1:8" ht="50.15" customHeight="1">
      <c r="A152" s="16"/>
      <c r="B152" s="16"/>
      <c r="C152" s="16"/>
      <c r="D152" s="16"/>
      <c r="E152" s="16"/>
      <c r="F152" s="16"/>
      <c r="G152" s="16"/>
      <c r="H152" s="16"/>
    </row>
    <row r="153" spans="1:8" ht="50.15" customHeight="1">
      <c r="A153" s="16"/>
      <c r="B153" s="16"/>
      <c r="C153" s="16"/>
      <c r="D153" s="16"/>
      <c r="E153" s="16"/>
      <c r="F153" s="16"/>
      <c r="G153" s="16"/>
      <c r="H153" s="16"/>
    </row>
    <row r="154" spans="1:8" ht="50.15" customHeight="1">
      <c r="A154" s="16"/>
      <c r="B154" s="16"/>
      <c r="C154" s="16"/>
      <c r="D154" s="16"/>
      <c r="E154" s="16"/>
      <c r="F154" s="16"/>
      <c r="G154" s="16"/>
      <c r="H154" s="16"/>
    </row>
    <row r="155" spans="1:8" ht="50.15" customHeight="1">
      <c r="A155" s="16"/>
      <c r="B155" s="16"/>
      <c r="C155" s="16"/>
      <c r="D155" s="16"/>
      <c r="E155" s="16"/>
      <c r="F155" s="16"/>
      <c r="G155" s="16"/>
      <c r="H155" s="16"/>
    </row>
    <row r="156" spans="1:8" ht="50.15" customHeight="1">
      <c r="A156" s="16"/>
      <c r="B156" s="16"/>
      <c r="C156" s="16"/>
      <c r="D156" s="16"/>
      <c r="E156" s="16"/>
      <c r="F156" s="16"/>
      <c r="G156" s="16"/>
      <c r="H156" s="16"/>
    </row>
    <row r="157" spans="1:8" ht="50.15" customHeight="1">
      <c r="A157" s="16"/>
      <c r="B157" s="16"/>
      <c r="C157" s="16"/>
      <c r="D157" s="16"/>
      <c r="E157" s="16"/>
      <c r="F157" s="16"/>
      <c r="G157" s="16"/>
      <c r="H157" s="16"/>
    </row>
    <row r="158" spans="1:8" ht="50.15" customHeight="1">
      <c r="A158" s="16"/>
      <c r="B158" s="16"/>
      <c r="C158" s="16"/>
      <c r="D158" s="16"/>
      <c r="E158" s="16"/>
      <c r="F158" s="16"/>
      <c r="G158" s="16"/>
      <c r="H158" s="16"/>
    </row>
    <row r="159" spans="1:8" ht="50.15" customHeight="1">
      <c r="A159" s="16"/>
      <c r="B159" s="16"/>
      <c r="C159" s="16"/>
      <c r="D159" s="16"/>
      <c r="E159" s="16"/>
      <c r="F159" s="16"/>
      <c r="G159" s="16"/>
      <c r="H159" s="16"/>
    </row>
    <row r="160" spans="1:8" ht="50.15" customHeight="1">
      <c r="A160" s="16"/>
      <c r="B160" s="16"/>
      <c r="C160" s="16"/>
      <c r="D160" s="16"/>
      <c r="E160" s="16"/>
      <c r="F160" s="16"/>
      <c r="G160" s="16"/>
      <c r="H160" s="16"/>
    </row>
    <row r="161" spans="1:8" ht="50.15" customHeight="1">
      <c r="A161" s="16"/>
      <c r="B161" s="16"/>
      <c r="C161" s="16"/>
      <c r="D161" s="16"/>
      <c r="E161" s="16"/>
      <c r="F161" s="16"/>
      <c r="G161" s="16"/>
      <c r="H161" s="16"/>
    </row>
    <row r="162" spans="1:8" ht="50.15" customHeight="1">
      <c r="A162" s="16"/>
      <c r="B162" s="16"/>
      <c r="C162" s="16"/>
      <c r="D162" s="16"/>
      <c r="E162" s="16"/>
      <c r="F162" s="16"/>
      <c r="G162" s="16"/>
      <c r="H162" s="16"/>
    </row>
    <row r="163" spans="1:8" ht="50.15" customHeight="1">
      <c r="A163" s="16"/>
      <c r="B163" s="16"/>
      <c r="C163" s="16"/>
      <c r="D163" s="16"/>
      <c r="E163" s="16"/>
      <c r="F163" s="16"/>
      <c r="G163" s="16"/>
      <c r="H163" s="16"/>
    </row>
    <row r="164" spans="1:8" ht="50.15" customHeight="1">
      <c r="A164" s="16"/>
      <c r="B164" s="16"/>
      <c r="C164" s="16"/>
      <c r="D164" s="16"/>
      <c r="E164" s="16"/>
      <c r="F164" s="16"/>
      <c r="G164" s="16"/>
      <c r="H164" s="16"/>
    </row>
    <row r="165" spans="1:8" ht="50.15" customHeight="1">
      <c r="A165" s="16"/>
      <c r="B165" s="16"/>
      <c r="C165" s="16"/>
      <c r="D165" s="16"/>
      <c r="E165" s="16"/>
      <c r="F165" s="16"/>
      <c r="G165" s="16"/>
      <c r="H165" s="16"/>
    </row>
    <row r="166" spans="1:8" ht="50.15" customHeight="1">
      <c r="A166" s="16"/>
      <c r="B166" s="16"/>
      <c r="C166" s="16"/>
      <c r="D166" s="16"/>
      <c r="E166" s="16"/>
      <c r="F166" s="16"/>
      <c r="G166" s="16"/>
      <c r="H166" s="16"/>
    </row>
    <row r="167" spans="1:8" ht="50.15" customHeight="1">
      <c r="A167" s="16"/>
      <c r="B167" s="16"/>
      <c r="C167" s="16"/>
      <c r="D167" s="16"/>
      <c r="E167" s="16"/>
      <c r="F167" s="16"/>
      <c r="G167" s="16"/>
      <c r="H167" s="16"/>
    </row>
    <row r="168" spans="1:8" ht="50.15" customHeight="1">
      <c r="A168" s="16"/>
      <c r="B168" s="16"/>
      <c r="C168" s="16"/>
      <c r="D168" s="16"/>
      <c r="E168" s="16"/>
      <c r="F168" s="16"/>
      <c r="G168" s="16"/>
      <c r="H168" s="16"/>
    </row>
    <row r="169" spans="1:8" ht="50.15" customHeight="1">
      <c r="A169" s="16"/>
      <c r="B169" s="16"/>
      <c r="C169" s="16"/>
      <c r="D169" s="16"/>
      <c r="E169" s="16"/>
      <c r="F169" s="16"/>
      <c r="G169" s="16"/>
      <c r="H169" s="16"/>
    </row>
    <row r="170" spans="1:8" ht="50.15" customHeight="1">
      <c r="A170" s="16"/>
      <c r="B170" s="16"/>
      <c r="C170" s="16"/>
      <c r="D170" s="16"/>
      <c r="E170" s="16"/>
      <c r="F170" s="16"/>
      <c r="G170" s="16"/>
      <c r="H170" s="16"/>
    </row>
    <row r="171" spans="1:8" ht="50.15" customHeight="1">
      <c r="A171" s="16"/>
      <c r="B171" s="16"/>
      <c r="C171" s="16"/>
      <c r="D171" s="16"/>
      <c r="E171" s="16"/>
      <c r="F171" s="16"/>
      <c r="G171" s="16"/>
      <c r="H171" s="16"/>
    </row>
    <row r="172" spans="1:8" ht="50.15" customHeight="1">
      <c r="A172" s="16"/>
      <c r="B172" s="16"/>
      <c r="C172" s="16"/>
      <c r="D172" s="16"/>
      <c r="E172" s="16"/>
      <c r="F172" s="16"/>
      <c r="G172" s="16"/>
      <c r="H172" s="16"/>
    </row>
    <row r="173" spans="1:8" ht="50.15" customHeight="1">
      <c r="A173" s="16"/>
      <c r="B173" s="16"/>
      <c r="C173" s="16"/>
      <c r="D173" s="16"/>
      <c r="E173" s="16"/>
      <c r="F173" s="16"/>
      <c r="G173" s="16"/>
      <c r="H173" s="16"/>
    </row>
    <row r="174" spans="1:8" ht="50.15" customHeight="1">
      <c r="A174" s="16"/>
      <c r="B174" s="16"/>
      <c r="C174" s="16"/>
      <c r="D174" s="16"/>
      <c r="E174" s="16"/>
      <c r="F174" s="16"/>
      <c r="G174" s="16"/>
      <c r="H174" s="16"/>
    </row>
    <row r="175" spans="1:8" ht="50.15" customHeight="1">
      <c r="A175" s="16"/>
      <c r="B175" s="16"/>
      <c r="C175" s="16"/>
      <c r="D175" s="16"/>
      <c r="E175" s="16"/>
      <c r="F175" s="16"/>
      <c r="G175" s="16"/>
      <c r="H175" s="16"/>
    </row>
    <row r="176" spans="1:8" ht="50.15" customHeight="1">
      <c r="A176" s="16"/>
      <c r="B176" s="16"/>
      <c r="C176" s="16"/>
      <c r="D176" s="16"/>
      <c r="E176" s="16"/>
      <c r="F176" s="16"/>
      <c r="G176" s="16"/>
      <c r="H176" s="16"/>
    </row>
    <row r="177" spans="1:8" ht="50.15" customHeight="1">
      <c r="A177" s="16"/>
      <c r="B177" s="16"/>
      <c r="C177" s="16"/>
      <c r="D177" s="16"/>
      <c r="E177" s="16"/>
      <c r="F177" s="16"/>
      <c r="G177" s="16"/>
      <c r="H177" s="16"/>
    </row>
  </sheetData>
  <sheetProtection formatCells="0" formatColumns="0" formatRows="0" insertColumns="0" insertRows="0" insertHyperlinks="0" deleteColumns="0" deleteRows="0" sort="0" autoFilter="0" pivotTables="0"/>
  <mergeCells count="9">
    <mergeCell ref="D35:F35"/>
    <mergeCell ref="D36:F36"/>
    <mergeCell ref="B32:G32"/>
    <mergeCell ref="B1:G1"/>
    <mergeCell ref="B14:G14"/>
    <mergeCell ref="B27:G27"/>
    <mergeCell ref="D33:F33"/>
    <mergeCell ref="D34:F34"/>
    <mergeCell ref="D2:E2"/>
  </mergeCells>
  <printOptions horizontalCentered="1"/>
  <pageMargins left="0.7" right="0.7" top="0.75" bottom="0.75" header="0.3" footer="0.3"/>
  <pageSetup paperSize="9" scale="4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1B8-50E3-40F5-B620-295106F84B9F}">
  <sheetPr codeName="Sheet15">
    <tabColor rgb="FF7030A0"/>
  </sheetPr>
  <dimension ref="A1:K63"/>
  <sheetViews>
    <sheetView rightToLeft="1" view="pageBreakPreview" zoomScale="80" zoomScaleNormal="100" zoomScaleSheetLayoutView="80" workbookViewId="0">
      <selection activeCell="H9" sqref="H9"/>
    </sheetView>
  </sheetViews>
  <sheetFormatPr defaultRowHeight="14"/>
  <cols>
    <col min="2" max="2" width="35.9140625" customWidth="1"/>
    <col min="3" max="3" width="19.6640625" bestFit="1" customWidth="1"/>
    <col min="4" max="4" width="19.33203125" bestFit="1" customWidth="1"/>
    <col min="5" max="5" width="16.58203125" bestFit="1" customWidth="1"/>
    <col min="6" max="6" width="13.9140625" bestFit="1" customWidth="1"/>
    <col min="7" max="7" width="14" bestFit="1" customWidth="1"/>
    <col min="8" max="8" width="21.58203125" bestFit="1" customWidth="1"/>
  </cols>
  <sheetData>
    <row r="1" spans="1:11" ht="25.5" thickBot="1">
      <c r="A1" s="17" t="s">
        <v>358</v>
      </c>
      <c r="B1" s="17" t="s">
        <v>314</v>
      </c>
      <c r="C1" s="17" t="s">
        <v>315</v>
      </c>
      <c r="D1" s="17" t="s">
        <v>316</v>
      </c>
      <c r="E1" s="24" t="s">
        <v>317</v>
      </c>
      <c r="F1" s="24" t="s">
        <v>318</v>
      </c>
      <c r="G1" s="24" t="s">
        <v>257</v>
      </c>
      <c r="H1" s="25" t="s">
        <v>330</v>
      </c>
    </row>
    <row r="2" spans="1:11" ht="27" thickBot="1">
      <c r="A2" s="22">
        <v>1</v>
      </c>
      <c r="B2" s="18" t="s">
        <v>320</v>
      </c>
      <c r="C2" s="21">
        <v>45311</v>
      </c>
      <c r="D2" s="21">
        <v>45341</v>
      </c>
      <c r="E2" s="23">
        <f>D2-C2</f>
        <v>30</v>
      </c>
      <c r="F2" s="23">
        <f>30-E2</f>
        <v>0</v>
      </c>
      <c r="G2" s="19" t="str">
        <f ca="1">IF(TODAY()&gt;=D2,"انتهت الاجازة",IF(E2=0,""))</f>
        <v>انتهت الاجازة</v>
      </c>
      <c r="H2" s="26"/>
    </row>
    <row r="3" spans="1:11" ht="27" thickBot="1">
      <c r="A3" s="22">
        <v>2</v>
      </c>
      <c r="B3" s="18" t="s">
        <v>321</v>
      </c>
      <c r="C3" s="21">
        <v>45340</v>
      </c>
      <c r="D3" s="21">
        <v>45371</v>
      </c>
      <c r="E3" s="23">
        <f t="shared" ref="E3:E11" si="0">D3-C3</f>
        <v>31</v>
      </c>
      <c r="F3" s="23">
        <f t="shared" ref="F3:F11" si="1">30-E3</f>
        <v>-1</v>
      </c>
      <c r="G3" s="19" t="str">
        <f t="shared" ref="G3:G11" ca="1" si="2">IF(TODAY()&gt;=D3,"انتهت الاجازة",IF(D3&lt;="","",""))</f>
        <v>انتهت الاجازة</v>
      </c>
      <c r="H3" s="26"/>
    </row>
    <row r="4" spans="1:11" ht="27" thickBot="1">
      <c r="A4" s="22">
        <v>4</v>
      </c>
      <c r="B4" s="18" t="s">
        <v>322</v>
      </c>
      <c r="C4" s="21">
        <v>45354</v>
      </c>
      <c r="D4" s="21">
        <v>45384</v>
      </c>
      <c r="E4" s="23">
        <f t="shared" si="0"/>
        <v>30</v>
      </c>
      <c r="F4" s="23">
        <f t="shared" si="1"/>
        <v>0</v>
      </c>
      <c r="G4" s="19" t="str">
        <f t="shared" ca="1" si="2"/>
        <v>انتهت الاجازة</v>
      </c>
      <c r="H4" s="26"/>
    </row>
    <row r="5" spans="1:11" ht="27" thickBot="1">
      <c r="A5" s="22">
        <v>5</v>
      </c>
      <c r="B5" s="18" t="s">
        <v>217</v>
      </c>
      <c r="C5" s="21">
        <v>45379</v>
      </c>
      <c r="D5" s="21">
        <v>45389</v>
      </c>
      <c r="E5" s="23">
        <f t="shared" si="0"/>
        <v>10</v>
      </c>
      <c r="F5" s="23">
        <f t="shared" si="1"/>
        <v>20</v>
      </c>
      <c r="G5" s="19" t="str">
        <f t="shared" ca="1" si="2"/>
        <v>انتهت الاجازة</v>
      </c>
      <c r="H5" s="26"/>
    </row>
    <row r="6" spans="1:11" ht="27" thickBot="1">
      <c r="A6" s="22">
        <v>6</v>
      </c>
      <c r="B6" s="18" t="s">
        <v>323</v>
      </c>
      <c r="C6" s="21">
        <v>45377</v>
      </c>
      <c r="D6" s="21">
        <v>45392</v>
      </c>
      <c r="E6" s="23">
        <f t="shared" si="0"/>
        <v>15</v>
      </c>
      <c r="F6" s="23">
        <f t="shared" si="1"/>
        <v>15</v>
      </c>
      <c r="G6" s="19" t="str">
        <f t="shared" ca="1" si="2"/>
        <v>انتهت الاجازة</v>
      </c>
      <c r="H6" s="26"/>
    </row>
    <row r="7" spans="1:11" ht="27" thickBot="1">
      <c r="A7" s="22">
        <v>7</v>
      </c>
      <c r="B7" s="18" t="s">
        <v>319</v>
      </c>
      <c r="C7" s="21">
        <v>45396</v>
      </c>
      <c r="D7" s="21">
        <v>45403</v>
      </c>
      <c r="E7" s="23">
        <f t="shared" si="0"/>
        <v>7</v>
      </c>
      <c r="F7" s="23">
        <f t="shared" si="1"/>
        <v>23</v>
      </c>
      <c r="G7" s="19" t="str">
        <f ca="1">IF(TODAY()&gt;=D7,"انتهت الاجازة",IF(D7&lt;="","",""))</f>
        <v>انتهت الاجازة</v>
      </c>
      <c r="H7" s="26"/>
      <c r="K7" s="20"/>
    </row>
    <row r="8" spans="1:11" ht="27" thickBot="1">
      <c r="A8" s="22">
        <v>8</v>
      </c>
      <c r="B8" s="18" t="s">
        <v>23</v>
      </c>
      <c r="C8" s="21">
        <v>45400</v>
      </c>
      <c r="D8" s="21">
        <v>45415</v>
      </c>
      <c r="E8" s="23">
        <f t="shared" si="0"/>
        <v>15</v>
      </c>
      <c r="F8" s="23">
        <f t="shared" si="1"/>
        <v>15</v>
      </c>
      <c r="G8" s="19" t="str">
        <f t="shared" ca="1" si="2"/>
        <v>انتهت الاجازة</v>
      </c>
      <c r="H8" s="26"/>
      <c r="I8" s="20"/>
      <c r="J8" s="20"/>
    </row>
    <row r="9" spans="1:11" ht="27" thickBot="1">
      <c r="A9" s="22">
        <v>9</v>
      </c>
      <c r="B9" s="18" t="s">
        <v>324</v>
      </c>
      <c r="C9" s="21">
        <v>45396</v>
      </c>
      <c r="D9" s="21">
        <v>45419</v>
      </c>
      <c r="E9" s="23">
        <f t="shared" si="0"/>
        <v>23</v>
      </c>
      <c r="F9" s="23">
        <f t="shared" si="1"/>
        <v>7</v>
      </c>
      <c r="G9" s="19" t="str">
        <f t="shared" ca="1" si="2"/>
        <v>انتهت الاجازة</v>
      </c>
      <c r="H9" s="26"/>
      <c r="J9" s="20"/>
    </row>
    <row r="10" spans="1:11" ht="27" thickBot="1">
      <c r="A10" s="22">
        <v>10</v>
      </c>
      <c r="B10" s="18" t="s">
        <v>325</v>
      </c>
      <c r="C10" s="21">
        <v>45396</v>
      </c>
      <c r="D10" s="21">
        <v>45406</v>
      </c>
      <c r="E10" s="23">
        <f t="shared" si="0"/>
        <v>10</v>
      </c>
      <c r="F10" s="23">
        <f t="shared" si="1"/>
        <v>20</v>
      </c>
      <c r="G10" s="19" t="str">
        <f t="shared" ca="1" si="2"/>
        <v>انتهت الاجازة</v>
      </c>
      <c r="H10" s="26"/>
    </row>
    <row r="11" spans="1:11" ht="27" thickBot="1">
      <c r="A11" s="22">
        <v>11</v>
      </c>
      <c r="B11" s="18" t="s">
        <v>30</v>
      </c>
      <c r="C11" s="21">
        <v>45410</v>
      </c>
      <c r="D11" s="21">
        <v>45432</v>
      </c>
      <c r="E11" s="23">
        <f t="shared" si="0"/>
        <v>22</v>
      </c>
      <c r="F11" s="23">
        <f t="shared" si="1"/>
        <v>8</v>
      </c>
      <c r="G11" s="19" t="str">
        <f t="shared" ca="1" si="2"/>
        <v>انتهت الاجازة</v>
      </c>
      <c r="H11" s="26"/>
    </row>
    <row r="12" spans="1:11" ht="27" thickBot="1">
      <c r="A12" s="22">
        <v>12</v>
      </c>
      <c r="B12" s="18" t="s">
        <v>322</v>
      </c>
      <c r="C12" s="21">
        <v>45413</v>
      </c>
      <c r="D12" s="21">
        <v>45443</v>
      </c>
      <c r="E12" s="23">
        <f t="shared" ref="E12" si="3">D12-C12</f>
        <v>30</v>
      </c>
      <c r="F12" s="23">
        <f t="shared" ref="F12" si="4">30-E12</f>
        <v>0</v>
      </c>
      <c r="G12" s="19" t="str">
        <f t="shared" ref="G12" ca="1" si="5">IF(TODAY()&gt;=D12,"انتهت الاجازة",IF(D12&lt;="","",""))</f>
        <v>انتهت الاجازة</v>
      </c>
      <c r="H12" s="18" t="s">
        <v>349</v>
      </c>
    </row>
    <row r="13" spans="1:11" ht="27" thickBot="1">
      <c r="A13" s="22">
        <v>13</v>
      </c>
      <c r="B13" s="18" t="s">
        <v>335</v>
      </c>
      <c r="C13" s="21">
        <v>45417</v>
      </c>
      <c r="D13" s="21">
        <v>45437</v>
      </c>
      <c r="E13" s="23">
        <f t="shared" ref="E13" si="6">D13-C13</f>
        <v>20</v>
      </c>
      <c r="F13" s="23">
        <f t="shared" ref="F13" si="7">30-E13</f>
        <v>10</v>
      </c>
      <c r="G13" s="19" t="str">
        <f t="shared" ref="G13" ca="1" si="8">IF(TODAY()&gt;=D13,"انتهت الاجازة",IF(D13&lt;="","",""))</f>
        <v>انتهت الاجازة</v>
      </c>
      <c r="H13" s="26"/>
    </row>
    <row r="14" spans="1:11" ht="27" thickBot="1">
      <c r="A14" s="22">
        <v>14</v>
      </c>
      <c r="B14" s="18" t="s">
        <v>331</v>
      </c>
      <c r="C14" s="21">
        <v>45417</v>
      </c>
      <c r="D14" s="21">
        <v>45436</v>
      </c>
      <c r="E14" s="23">
        <f t="shared" ref="E14" si="9">D14-C14</f>
        <v>19</v>
      </c>
      <c r="F14" s="23">
        <f t="shared" ref="F14" si="10">30-E14</f>
        <v>11</v>
      </c>
      <c r="G14" s="19" t="str">
        <f t="shared" ref="G14" ca="1" si="11">IF(TODAY()&gt;=D14,"انتهت الاجازة",IF(D14&lt;="","",""))</f>
        <v>انتهت الاجازة</v>
      </c>
      <c r="H14" s="26"/>
    </row>
    <row r="15" spans="1:11" ht="27" thickBot="1">
      <c r="A15" s="22">
        <v>15</v>
      </c>
      <c r="B15" s="18" t="s">
        <v>332</v>
      </c>
      <c r="C15" s="21">
        <v>45431</v>
      </c>
      <c r="D15" s="21">
        <v>45488</v>
      </c>
      <c r="E15" s="23">
        <f t="shared" ref="E15" si="12">D15-C15</f>
        <v>57</v>
      </c>
      <c r="F15" s="23">
        <f>40-E15</f>
        <v>-17</v>
      </c>
      <c r="G15" s="19" t="str">
        <f t="shared" ref="G15" ca="1" si="13">IF(TODAY()&gt;=D15,"انتهت الاجازة",IF(D15&lt;="","",""))</f>
        <v>انتهت الاجازة</v>
      </c>
      <c r="H15" s="26"/>
    </row>
    <row r="16" spans="1:11" ht="27" thickBot="1">
      <c r="A16" s="22">
        <v>16</v>
      </c>
      <c r="B16" s="18" t="s">
        <v>347</v>
      </c>
      <c r="C16" s="21">
        <v>45438</v>
      </c>
      <c r="D16" s="21">
        <v>45459</v>
      </c>
      <c r="E16" s="23">
        <f t="shared" ref="E16" si="14">D16-C16</f>
        <v>21</v>
      </c>
      <c r="F16" s="23">
        <f t="shared" ref="F16" si="15">30-E16</f>
        <v>9</v>
      </c>
      <c r="G16" s="19" t="str">
        <f t="shared" ref="G16" ca="1" si="16">IF(TODAY()&gt;=D16,"انتهت الاجازة",IF(D16&lt;="","",""))</f>
        <v>انتهت الاجازة</v>
      </c>
      <c r="H16" s="26"/>
    </row>
    <row r="17" spans="1:8" ht="27" thickBot="1">
      <c r="A17" s="22">
        <v>17</v>
      </c>
      <c r="B17" s="18" t="s">
        <v>348</v>
      </c>
      <c r="C17" s="21">
        <v>45445</v>
      </c>
      <c r="D17" s="21">
        <v>45466</v>
      </c>
      <c r="E17" s="23">
        <f t="shared" ref="E17" si="17">D17-C17</f>
        <v>21</v>
      </c>
      <c r="F17" s="23">
        <f t="shared" ref="F17" si="18">30-E17</f>
        <v>9</v>
      </c>
      <c r="G17" s="19" t="str">
        <f t="shared" ref="G17" ca="1" si="19">IF(TODAY()&gt;=D17,"انتهت الاجازة",IF(D17&lt;="","",""))</f>
        <v>انتهت الاجازة</v>
      </c>
      <c r="H17" s="26"/>
    </row>
    <row r="18" spans="1:8" ht="27" thickBot="1">
      <c r="A18" s="22">
        <v>18</v>
      </c>
      <c r="B18" s="18" t="s">
        <v>223</v>
      </c>
      <c r="C18" s="21">
        <v>45452</v>
      </c>
      <c r="D18" s="21">
        <v>45482</v>
      </c>
      <c r="E18" s="23">
        <f t="shared" ref="E18" si="20">D18-C18</f>
        <v>30</v>
      </c>
      <c r="F18" s="23">
        <f t="shared" ref="F18" si="21">30-E18</f>
        <v>0</v>
      </c>
      <c r="G18" s="19" t="str">
        <f t="shared" ref="G18" ca="1" si="22">IF(TODAY()&gt;=D18,"انتهت الاجازة",IF(D18&lt;="","",""))</f>
        <v>انتهت الاجازة</v>
      </c>
      <c r="H18" s="26"/>
    </row>
    <row r="19" spans="1:8" ht="27" thickBot="1">
      <c r="A19" s="22">
        <v>19</v>
      </c>
      <c r="B19" s="18" t="s">
        <v>15</v>
      </c>
      <c r="C19" s="21">
        <v>45458</v>
      </c>
      <c r="D19" s="21">
        <v>45478</v>
      </c>
      <c r="E19" s="23">
        <f t="shared" ref="E19:E21" si="23">D19-C19</f>
        <v>20</v>
      </c>
      <c r="F19" s="23">
        <f t="shared" ref="F19:F21" si="24">30-E19</f>
        <v>10</v>
      </c>
      <c r="G19" s="19" t="str">
        <f t="shared" ref="G19:G21" ca="1" si="25">IF(TODAY()&gt;=D19,"انتهت الاجازة",IF(D19&lt;="","",""))</f>
        <v>انتهت الاجازة</v>
      </c>
      <c r="H19" s="27" t="s">
        <v>354</v>
      </c>
    </row>
    <row r="20" spans="1:8" ht="27" thickBot="1">
      <c r="A20" s="22">
        <v>20</v>
      </c>
      <c r="B20" s="18" t="s">
        <v>39</v>
      </c>
      <c r="C20" s="21">
        <v>45458</v>
      </c>
      <c r="D20" s="21">
        <v>45468</v>
      </c>
      <c r="E20" s="23">
        <f t="shared" si="23"/>
        <v>10</v>
      </c>
      <c r="F20" s="23">
        <f t="shared" si="24"/>
        <v>20</v>
      </c>
      <c r="G20" s="19" t="str">
        <f t="shared" ca="1" si="25"/>
        <v>انتهت الاجازة</v>
      </c>
    </row>
    <row r="21" spans="1:8" ht="27" thickBot="1">
      <c r="A21" s="22">
        <v>21</v>
      </c>
      <c r="B21" s="18" t="s">
        <v>312</v>
      </c>
      <c r="C21" s="21">
        <v>45480</v>
      </c>
      <c r="D21" s="21">
        <v>45492</v>
      </c>
      <c r="E21" s="23">
        <f t="shared" si="23"/>
        <v>12</v>
      </c>
      <c r="F21" s="23">
        <f t="shared" si="24"/>
        <v>18</v>
      </c>
      <c r="G21" s="19" t="str">
        <f t="shared" ca="1" si="25"/>
        <v>انتهت الاجازة</v>
      </c>
    </row>
    <row r="22" spans="1:8" ht="27" thickBot="1">
      <c r="A22" s="22">
        <v>22</v>
      </c>
      <c r="B22" s="18" t="s">
        <v>138</v>
      </c>
      <c r="C22" s="21">
        <v>45480</v>
      </c>
      <c r="D22" s="21">
        <v>45500</v>
      </c>
      <c r="E22" s="23">
        <f t="shared" ref="E22" si="26">D22-C22</f>
        <v>20</v>
      </c>
      <c r="F22" s="23">
        <f t="shared" ref="F22" si="27">30-E22</f>
        <v>10</v>
      </c>
      <c r="G22" s="19" t="str">
        <f t="shared" ref="G22" ca="1" si="28">IF(TODAY()&gt;=D22,"انتهت الاجازة",IF(D22&lt;="","",""))</f>
        <v>انتهت الاجازة</v>
      </c>
    </row>
    <row r="23" spans="1:8" ht="27" thickBot="1">
      <c r="A23" s="22">
        <v>23</v>
      </c>
      <c r="B23" s="18" t="s">
        <v>217</v>
      </c>
      <c r="C23" s="21">
        <v>45493</v>
      </c>
      <c r="D23" s="21">
        <v>45523</v>
      </c>
      <c r="E23" s="23">
        <f t="shared" ref="E23" si="29">D23-C23</f>
        <v>30</v>
      </c>
      <c r="F23" s="23">
        <f t="shared" ref="F23" si="30">30-E23</f>
        <v>0</v>
      </c>
      <c r="G23" s="19" t="str">
        <f t="shared" ref="G23" ca="1" si="31">IF(TODAY()&gt;=D23,"انتهت الاجازة",IF(D23&lt;="","",""))</f>
        <v>انتهت الاجازة</v>
      </c>
    </row>
    <row r="24" spans="1:8" ht="27" thickBot="1">
      <c r="A24" s="22">
        <v>24</v>
      </c>
      <c r="B24" s="18" t="s">
        <v>353</v>
      </c>
      <c r="C24" s="21">
        <v>45529</v>
      </c>
      <c r="D24" s="21">
        <v>45539</v>
      </c>
      <c r="E24" s="23">
        <f t="shared" ref="E24" si="32">D24-C24</f>
        <v>10</v>
      </c>
      <c r="F24" s="23">
        <f>40-E24</f>
        <v>30</v>
      </c>
      <c r="G24" s="19" t="str">
        <f t="shared" ref="G24" ca="1" si="33">IF(TODAY()&gt;=D24,"انتهت الاجازة",IF(D24&lt;="","",""))</f>
        <v>انتهت الاجازة</v>
      </c>
    </row>
    <row r="25" spans="1:8" ht="27" thickBot="1">
      <c r="A25" s="22">
        <v>25</v>
      </c>
      <c r="B25" s="18" t="s">
        <v>320</v>
      </c>
      <c r="C25" s="21">
        <v>45509</v>
      </c>
      <c r="D25" s="21">
        <v>45539</v>
      </c>
      <c r="E25" s="23">
        <f t="shared" ref="E25:E26" si="34">D25-C25</f>
        <v>30</v>
      </c>
      <c r="F25" s="23">
        <f t="shared" ref="F25:F26" si="35">40-E25</f>
        <v>10</v>
      </c>
      <c r="G25" s="19" t="str">
        <f t="shared" ref="G25:G26" ca="1" si="36">IF(TODAY()&gt;=D25,"انتهت الاجازة",IF(D25&lt;="","",""))</f>
        <v>انتهت الاجازة</v>
      </c>
    </row>
    <row r="26" spans="1:8" ht="27" thickBot="1">
      <c r="A26" s="22">
        <v>26</v>
      </c>
      <c r="B26" s="18" t="s">
        <v>323</v>
      </c>
      <c r="C26" s="21">
        <v>45508</v>
      </c>
      <c r="D26" s="21">
        <v>45527</v>
      </c>
      <c r="E26" s="23">
        <f t="shared" si="34"/>
        <v>19</v>
      </c>
      <c r="F26" s="23">
        <f t="shared" si="35"/>
        <v>21</v>
      </c>
      <c r="G26" s="19" t="str">
        <f t="shared" ca="1" si="36"/>
        <v>انتهت الاجازة</v>
      </c>
    </row>
    <row r="27" spans="1:8" ht="27" thickBot="1">
      <c r="A27" s="22">
        <v>27</v>
      </c>
      <c r="B27" s="18" t="s">
        <v>21</v>
      </c>
      <c r="C27" s="21">
        <v>45494</v>
      </c>
      <c r="D27" s="21">
        <v>45524</v>
      </c>
      <c r="E27" s="23">
        <f t="shared" ref="E27" si="37">D27-C27</f>
        <v>30</v>
      </c>
      <c r="F27" s="23">
        <f t="shared" ref="F27" si="38">40-E27</f>
        <v>10</v>
      </c>
      <c r="G27" s="19" t="str">
        <f t="shared" ref="G27" ca="1" si="39">IF(TODAY()&gt;=D27,"انتهت الاجازة",IF(D27&lt;="","",""))</f>
        <v>انتهت الاجازة</v>
      </c>
    </row>
    <row r="28" spans="1:8" ht="27" thickBot="1">
      <c r="A28" s="22">
        <v>28</v>
      </c>
      <c r="B28" s="18" t="s">
        <v>178</v>
      </c>
      <c r="C28" s="21">
        <v>45517</v>
      </c>
      <c r="D28" s="21">
        <v>45531</v>
      </c>
      <c r="E28" s="23">
        <f t="shared" ref="E28" si="40">D28-C28</f>
        <v>14</v>
      </c>
      <c r="F28" s="23">
        <f t="shared" ref="F28" si="41">40-E28</f>
        <v>26</v>
      </c>
      <c r="G28" s="19" t="str">
        <f t="shared" ref="G28" ca="1" si="42">IF(TODAY()&gt;=D28,"انتهت الاجازة",IF(D28&lt;="","",""))</f>
        <v>انتهت الاجازة</v>
      </c>
    </row>
    <row r="29" spans="1:8" ht="27" thickBot="1">
      <c r="A29" s="22">
        <v>29</v>
      </c>
      <c r="B29" s="18" t="s">
        <v>13</v>
      </c>
      <c r="C29" s="21">
        <v>45522</v>
      </c>
      <c r="D29" s="21">
        <v>45552</v>
      </c>
      <c r="E29" s="23">
        <f t="shared" ref="E29" si="43">D29-C29</f>
        <v>30</v>
      </c>
      <c r="F29" s="23">
        <f t="shared" ref="F29" si="44">40-E29</f>
        <v>10</v>
      </c>
      <c r="G29" s="19" t="str">
        <f t="shared" ref="G29" ca="1" si="45">IF(TODAY()&gt;=D29,"انتهت الاجازة",IF(D29&lt;="","",""))</f>
        <v>انتهت الاجازة</v>
      </c>
    </row>
    <row r="30" spans="1:8" ht="27" thickBot="1">
      <c r="A30" s="22">
        <v>30</v>
      </c>
      <c r="B30" s="18" t="s">
        <v>18</v>
      </c>
      <c r="C30" s="21">
        <v>45529</v>
      </c>
      <c r="D30" s="21">
        <v>45542</v>
      </c>
      <c r="E30" s="23">
        <f t="shared" ref="E30" si="46">D30-C30</f>
        <v>13</v>
      </c>
      <c r="F30" s="23">
        <f t="shared" ref="F30" si="47">40-E30</f>
        <v>27</v>
      </c>
      <c r="G30" s="19" t="str">
        <f t="shared" ref="G30" ca="1" si="48">IF(TODAY()&gt;=D30,"انتهت الاجازة",IF(D30&lt;="","",""))</f>
        <v>انتهت الاجازة</v>
      </c>
    </row>
    <row r="31" spans="1:8" ht="27" thickBot="1">
      <c r="A31" s="22">
        <v>31</v>
      </c>
      <c r="B31" s="18" t="s">
        <v>30</v>
      </c>
      <c r="C31" s="21">
        <v>45529</v>
      </c>
      <c r="D31" s="21">
        <v>45534</v>
      </c>
      <c r="E31" s="23">
        <f t="shared" ref="E31:E32" si="49">D31-C31</f>
        <v>5</v>
      </c>
      <c r="F31" s="23">
        <f t="shared" ref="F31" si="50">40-E31</f>
        <v>35</v>
      </c>
      <c r="G31" s="19" t="str">
        <f t="shared" ref="G31" ca="1" si="51">IF(TODAY()&gt;=D31,"انتهت الاجازة",IF(D31&lt;="","",""))</f>
        <v>انتهت الاجازة</v>
      </c>
    </row>
    <row r="32" spans="1:8" ht="27" thickBot="1">
      <c r="A32" s="22">
        <v>32</v>
      </c>
      <c r="B32" s="18" t="s">
        <v>217</v>
      </c>
      <c r="C32" s="21">
        <v>45523</v>
      </c>
      <c r="D32" s="21">
        <v>45535</v>
      </c>
      <c r="E32" s="23">
        <f t="shared" si="49"/>
        <v>12</v>
      </c>
      <c r="F32" s="23">
        <f t="shared" ref="F32" si="52">30-E32</f>
        <v>18</v>
      </c>
      <c r="G32" s="19" t="str">
        <f t="shared" ref="G32" ca="1" si="53">IF(TODAY()&gt;=D32,"انتهت الاجازة",IF(D32&lt;="","",""))</f>
        <v>انتهت الاجازة</v>
      </c>
    </row>
    <row r="33" spans="1:8" ht="27" thickBot="1">
      <c r="A33" s="22">
        <v>33</v>
      </c>
      <c r="B33" s="18" t="s">
        <v>14</v>
      </c>
      <c r="C33" s="21">
        <v>45529</v>
      </c>
      <c r="D33" s="21">
        <v>45544</v>
      </c>
      <c r="E33" s="23">
        <f t="shared" ref="E33" si="54">D33-C33</f>
        <v>15</v>
      </c>
      <c r="F33" s="23">
        <f t="shared" ref="F33" si="55">30-E33</f>
        <v>15</v>
      </c>
      <c r="G33" s="19" t="str">
        <f t="shared" ref="G33" ca="1" si="56">IF(TODAY()&gt;=D33,"انتهت الاجازة",IF(D33&lt;="","",""))</f>
        <v>انتهت الاجازة</v>
      </c>
    </row>
    <row r="34" spans="1:8" ht="27" thickBot="1">
      <c r="A34" s="22">
        <v>34</v>
      </c>
      <c r="B34" s="18" t="s">
        <v>356</v>
      </c>
      <c r="C34" s="21">
        <v>45536</v>
      </c>
      <c r="D34" s="21">
        <v>45566</v>
      </c>
      <c r="E34" s="23">
        <f t="shared" ref="E34" si="57">D34-C34</f>
        <v>30</v>
      </c>
      <c r="F34" s="23">
        <f t="shared" ref="F34" si="58">30-E34</f>
        <v>0</v>
      </c>
      <c r="G34" s="19" t="str">
        <f t="shared" ref="G34" ca="1" si="59">IF(TODAY()&gt;=D34,"انتهت الاجازة",IF(D34&lt;="","",""))</f>
        <v>انتهت الاجازة</v>
      </c>
    </row>
    <row r="35" spans="1:8" ht="27" thickBot="1">
      <c r="A35" s="22">
        <v>35</v>
      </c>
      <c r="B35" s="18" t="s">
        <v>323</v>
      </c>
      <c r="C35" s="21">
        <v>45527</v>
      </c>
      <c r="D35" s="21">
        <v>45557</v>
      </c>
      <c r="E35" s="23">
        <f t="shared" ref="E35" si="60">D35-C35</f>
        <v>30</v>
      </c>
      <c r="F35" s="23">
        <f t="shared" ref="F35" si="61">30-E35</f>
        <v>0</v>
      </c>
      <c r="G35" s="19" t="str">
        <f t="shared" ref="G35" ca="1" si="62">IF(TODAY()&gt;=D35,"انتهت الاجازة",IF(D35&lt;="","",""))</f>
        <v>انتهت الاجازة</v>
      </c>
    </row>
    <row r="36" spans="1:8" ht="27" thickBot="1">
      <c r="A36" s="22">
        <v>36</v>
      </c>
      <c r="B36" s="18" t="s">
        <v>178</v>
      </c>
      <c r="C36" s="21">
        <v>45531</v>
      </c>
      <c r="D36" s="21">
        <v>45547</v>
      </c>
      <c r="E36" s="23">
        <f t="shared" ref="E36" si="63">D36-C36</f>
        <v>16</v>
      </c>
      <c r="F36" s="23">
        <f t="shared" ref="F36" si="64">30-E36</f>
        <v>14</v>
      </c>
      <c r="G36" s="19" t="str">
        <f t="shared" ref="G36" ca="1" si="65">IF(TODAY()&gt;=D36,"انتهت الاجازة",IF(D36&lt;="","",""))</f>
        <v>انتهت الاجازة</v>
      </c>
    </row>
    <row r="37" spans="1:8" ht="27" thickBot="1">
      <c r="A37" s="22">
        <v>37</v>
      </c>
      <c r="B37" s="18" t="s">
        <v>217</v>
      </c>
      <c r="C37" s="21">
        <v>45535</v>
      </c>
      <c r="D37" s="21">
        <v>45541</v>
      </c>
      <c r="E37" s="23">
        <f t="shared" ref="E37" si="66">D37-C37</f>
        <v>6</v>
      </c>
      <c r="F37" s="23">
        <f t="shared" ref="F37" si="67">30-E37</f>
        <v>24</v>
      </c>
      <c r="G37" s="19" t="str">
        <f t="shared" ref="G37" ca="1" si="68">IF(TODAY()&gt;=D37,"انتهت الاجازة",IF(D37&lt;="","",""))</f>
        <v>انتهت الاجازة</v>
      </c>
    </row>
    <row r="38" spans="1:8" ht="27" thickBot="1">
      <c r="A38" s="22">
        <v>38</v>
      </c>
      <c r="B38" s="18" t="s">
        <v>326</v>
      </c>
      <c r="C38" s="21">
        <v>45539</v>
      </c>
      <c r="D38" s="21">
        <v>45554</v>
      </c>
      <c r="E38" s="23">
        <f t="shared" ref="E38" si="69">D38-C38</f>
        <v>15</v>
      </c>
      <c r="F38" s="23">
        <f t="shared" ref="F38" si="70">30-E38</f>
        <v>15</v>
      </c>
      <c r="G38" s="19" t="str">
        <f t="shared" ref="G38" ca="1" si="71">IF(TODAY()&gt;=D38,"انتهت الاجازة",IF(D38&lt;="","",""))</f>
        <v>انتهت الاجازة</v>
      </c>
    </row>
    <row r="39" spans="1:8" ht="27" thickBot="1">
      <c r="A39" s="22">
        <v>39</v>
      </c>
      <c r="B39" s="18" t="s">
        <v>361</v>
      </c>
      <c r="C39" s="21">
        <v>45553</v>
      </c>
      <c r="D39" s="21">
        <v>45563</v>
      </c>
      <c r="E39" s="23">
        <f t="shared" ref="E39" si="72">D39-C39</f>
        <v>10</v>
      </c>
      <c r="F39" s="23">
        <f t="shared" ref="F39" si="73">30-E39</f>
        <v>20</v>
      </c>
      <c r="G39" s="19" t="str">
        <f t="shared" ref="G39" ca="1" si="74">IF(TODAY()&gt;=D39,"انتهت الاجازة",IF(D39&lt;="","",""))</f>
        <v>انتهت الاجازة</v>
      </c>
    </row>
    <row r="40" spans="1:8" ht="27" thickBot="1">
      <c r="A40" s="22">
        <v>40</v>
      </c>
      <c r="B40" s="18" t="s">
        <v>178</v>
      </c>
      <c r="C40" s="21">
        <v>45548</v>
      </c>
      <c r="D40" s="21">
        <v>45577</v>
      </c>
      <c r="E40" s="23">
        <f t="shared" ref="E40:E41" si="75">D40-C40</f>
        <v>29</v>
      </c>
      <c r="F40" s="23">
        <f t="shared" ref="F40:F41" si="76">30-E40</f>
        <v>1</v>
      </c>
      <c r="G40" s="19" t="str">
        <f t="shared" ref="G40:G41" ca="1" si="77">IF(TODAY()&gt;=D40,"انتهت الاجازة",IF(D40&lt;="","",""))</f>
        <v>انتهت الاجازة</v>
      </c>
    </row>
    <row r="41" spans="1:8" ht="27" thickBot="1">
      <c r="A41" s="22">
        <v>41</v>
      </c>
      <c r="B41" s="18" t="s">
        <v>323</v>
      </c>
      <c r="C41" s="21">
        <v>45558</v>
      </c>
      <c r="D41" s="21">
        <v>45609</v>
      </c>
      <c r="E41" s="23">
        <f t="shared" si="75"/>
        <v>51</v>
      </c>
      <c r="F41" s="23">
        <f t="shared" si="76"/>
        <v>-21</v>
      </c>
      <c r="G41" s="19" t="str">
        <f t="shared" ca="1" si="77"/>
        <v>انتهت الاجازة</v>
      </c>
    </row>
    <row r="42" spans="1:8" ht="27" thickBot="1">
      <c r="A42" s="22">
        <v>42</v>
      </c>
      <c r="B42" s="18" t="s">
        <v>335</v>
      </c>
      <c r="C42" s="21">
        <v>45620</v>
      </c>
      <c r="D42" s="21">
        <v>45645</v>
      </c>
      <c r="E42" s="23">
        <f t="shared" ref="E42" si="78">D42-C42</f>
        <v>25</v>
      </c>
      <c r="F42" s="23">
        <f t="shared" ref="F42" si="79">30-E42</f>
        <v>5</v>
      </c>
      <c r="G42" s="19" t="str">
        <f t="shared" ref="G42" ca="1" si="80">IF(TODAY()&gt;=D42,"انتهت الاجازة",IF(D42&lt;="","",""))</f>
        <v>انتهت الاجازة</v>
      </c>
      <c r="H42" s="19"/>
    </row>
    <row r="43" spans="1:8" ht="27" thickBot="1">
      <c r="A43" s="22">
        <v>43</v>
      </c>
      <c r="B43" s="18" t="s">
        <v>403</v>
      </c>
      <c r="C43" s="21">
        <v>45618</v>
      </c>
      <c r="D43" s="21">
        <v>45658</v>
      </c>
      <c r="E43" s="23">
        <f t="shared" ref="E43" si="81">D43-C43</f>
        <v>40</v>
      </c>
      <c r="F43" s="23">
        <f t="shared" ref="F43" si="82">30-E43</f>
        <v>-10</v>
      </c>
      <c r="G43" s="19" t="str">
        <f t="shared" ref="G43" ca="1" si="83">IF(TODAY()&gt;=D43,"انتهت الاجازة",IF(D43&lt;="","",""))</f>
        <v>انتهت الاجازة</v>
      </c>
    </row>
    <row r="44" spans="1:8" ht="27" thickBot="1">
      <c r="A44" s="22">
        <v>44</v>
      </c>
      <c r="B44" s="18" t="s">
        <v>404</v>
      </c>
      <c r="C44" s="21">
        <v>45628</v>
      </c>
      <c r="D44" s="21">
        <v>45658</v>
      </c>
      <c r="E44" s="23">
        <f t="shared" ref="E44:E45" si="84">D44-C44</f>
        <v>30</v>
      </c>
      <c r="F44" s="23">
        <f t="shared" ref="F44:F45" si="85">30-E44</f>
        <v>0</v>
      </c>
      <c r="G44" s="19" t="str">
        <f t="shared" ref="G44:G45" ca="1" si="86">IF(TODAY()&gt;=D44,"انتهت الاجازة",IF(D44&lt;="","",""))</f>
        <v>انتهت الاجازة</v>
      </c>
    </row>
    <row r="45" spans="1:8" ht="27" thickBot="1">
      <c r="A45" s="22">
        <v>45</v>
      </c>
      <c r="B45" s="18" t="s">
        <v>347</v>
      </c>
      <c r="C45" s="21">
        <v>45634</v>
      </c>
      <c r="D45" s="21">
        <v>45665</v>
      </c>
      <c r="E45" s="23">
        <f t="shared" si="84"/>
        <v>31</v>
      </c>
      <c r="F45" s="23">
        <f t="shared" si="85"/>
        <v>-1</v>
      </c>
      <c r="G45" s="19" t="str">
        <f t="shared" ca="1" si="86"/>
        <v>انتهت الاجازة</v>
      </c>
    </row>
    <row r="46" spans="1:8" ht="27" thickBot="1">
      <c r="A46" s="22">
        <v>46</v>
      </c>
      <c r="B46" s="18" t="s">
        <v>406</v>
      </c>
      <c r="C46" s="21">
        <v>45634</v>
      </c>
      <c r="D46" s="21">
        <v>45653</v>
      </c>
      <c r="E46" s="23">
        <f t="shared" ref="E46" si="87">D46-C46</f>
        <v>19</v>
      </c>
      <c r="F46" s="23">
        <f t="shared" ref="F46" si="88">30-E46</f>
        <v>11</v>
      </c>
      <c r="G46" s="19" t="str">
        <f t="shared" ref="G46" ca="1" si="89">IF(TODAY()&gt;=D46,"انتهت الاجازة",IF(D46&lt;="","",""))</f>
        <v>انتهت الاجازة</v>
      </c>
    </row>
    <row r="47" spans="1:8" ht="27" thickBot="1">
      <c r="A47" s="22">
        <v>47</v>
      </c>
      <c r="B47" s="18" t="s">
        <v>407</v>
      </c>
      <c r="C47" s="21">
        <v>45634</v>
      </c>
      <c r="D47" s="21">
        <v>45638</v>
      </c>
      <c r="E47" s="23">
        <f t="shared" ref="E47" si="90">D47-C47</f>
        <v>4</v>
      </c>
      <c r="F47" s="23">
        <f t="shared" ref="F47" si="91">30-E47</f>
        <v>26</v>
      </c>
      <c r="G47" s="19" t="str">
        <f t="shared" ref="G47" ca="1" si="92">IF(TODAY()&gt;=D47,"انتهت الاجازة",IF(D47&lt;="","",""))</f>
        <v>انتهت الاجازة</v>
      </c>
    </row>
    <row r="48" spans="1:8" ht="27" thickBot="1">
      <c r="A48" s="22">
        <v>48</v>
      </c>
      <c r="B48" s="18" t="s">
        <v>408</v>
      </c>
      <c r="C48" s="21">
        <v>45634</v>
      </c>
      <c r="D48" s="21">
        <v>45664</v>
      </c>
      <c r="E48" s="23">
        <f t="shared" ref="E48" si="93">D48-C48</f>
        <v>30</v>
      </c>
      <c r="F48" s="23">
        <f t="shared" ref="F48" si="94">30-E48</f>
        <v>0</v>
      </c>
      <c r="G48" s="19" t="str">
        <f t="shared" ref="G48" ca="1" si="95">IF(TODAY()&gt;=D48,"انتهت الاجازة",IF(D48&lt;="","",""))</f>
        <v>انتهت الاجازة</v>
      </c>
    </row>
    <row r="49" spans="1:7" ht="27" thickBot="1">
      <c r="A49" s="22">
        <v>49</v>
      </c>
      <c r="B49" s="18" t="s">
        <v>324</v>
      </c>
      <c r="C49" s="21">
        <v>45634</v>
      </c>
      <c r="D49" s="21">
        <v>45644</v>
      </c>
      <c r="E49" s="23">
        <f t="shared" ref="E49" si="96">D49-C49</f>
        <v>10</v>
      </c>
      <c r="F49" s="23">
        <f t="shared" ref="F49" si="97">30-E49</f>
        <v>20</v>
      </c>
      <c r="G49" s="19" t="str">
        <f t="shared" ref="G49" ca="1" si="98">IF(TODAY()&gt;=D49,"انتهت الاجازة",IF(D49&lt;="","",""))</f>
        <v>انتهت الاجازة</v>
      </c>
    </row>
    <row r="50" spans="1:7" ht="27" thickBot="1">
      <c r="A50" s="22">
        <v>51</v>
      </c>
      <c r="B50" s="18" t="s">
        <v>30</v>
      </c>
      <c r="C50" s="21">
        <v>45655</v>
      </c>
      <c r="D50" s="21">
        <v>45681</v>
      </c>
      <c r="E50" s="23">
        <f t="shared" ref="E50" si="99">D50-C50</f>
        <v>26</v>
      </c>
      <c r="F50" s="23">
        <f t="shared" ref="F50" si="100">30-E50</f>
        <v>4</v>
      </c>
      <c r="G50" s="19" t="str">
        <f t="shared" ref="G50" ca="1" si="101">IF(TODAY()&gt;=D50,"انتهت الاجازة",IF(D50&lt;="","",""))</f>
        <v>انتهت الاجازة</v>
      </c>
    </row>
    <row r="51" spans="1:7" ht="27" thickBot="1">
      <c r="A51" s="22">
        <v>52</v>
      </c>
      <c r="B51" s="18" t="s">
        <v>319</v>
      </c>
      <c r="C51" s="21">
        <v>45643</v>
      </c>
      <c r="D51" s="21">
        <v>45663</v>
      </c>
      <c r="E51" s="23">
        <f t="shared" ref="E51" si="102">D51-C51</f>
        <v>20</v>
      </c>
      <c r="F51" s="23">
        <f t="shared" ref="F51" si="103">30-E51</f>
        <v>10</v>
      </c>
      <c r="G51" s="19" t="str">
        <f t="shared" ref="G51" ca="1" si="104">IF(TODAY()&gt;=D51,"انتهت الاجازة",IF(D51&lt;="","",""))</f>
        <v>انتهت الاجازة</v>
      </c>
    </row>
    <row r="52" spans="1:7" ht="27" thickBot="1">
      <c r="A52" s="22">
        <v>53</v>
      </c>
      <c r="B52" s="18" t="s">
        <v>403</v>
      </c>
      <c r="C52" s="21">
        <v>45658</v>
      </c>
      <c r="D52" s="21">
        <v>45670</v>
      </c>
      <c r="E52" s="23">
        <f t="shared" ref="E52" si="105">D52-C52</f>
        <v>12</v>
      </c>
      <c r="F52" s="23">
        <f t="shared" ref="F52" si="106">30-E52</f>
        <v>18</v>
      </c>
      <c r="G52" s="19" t="str">
        <f t="shared" ref="G52" ca="1" si="107">IF(TODAY()&gt;=D52,"انتهت الاجازة",IF(D52&lt;="","",""))</f>
        <v>انتهت الاجازة</v>
      </c>
    </row>
    <row r="53" spans="1:7" ht="27" thickBot="1">
      <c r="A53" s="22">
        <v>54</v>
      </c>
      <c r="B53" s="18" t="s">
        <v>348</v>
      </c>
      <c r="C53" s="21">
        <v>45638</v>
      </c>
      <c r="D53" s="21">
        <v>45668</v>
      </c>
      <c r="E53" s="23">
        <f t="shared" ref="E53" si="108">D53-C53</f>
        <v>30</v>
      </c>
      <c r="F53" s="23">
        <f t="shared" ref="F53" si="109">30-E53</f>
        <v>0</v>
      </c>
      <c r="G53" s="19" t="str">
        <f t="shared" ref="G53" ca="1" si="110">IF(TODAY()&gt;=D53,"انتهت الاجازة",IF(D53&lt;="","",""))</f>
        <v>انتهت الاجازة</v>
      </c>
    </row>
    <row r="54" spans="1:7" ht="27" thickBot="1">
      <c r="A54" s="22">
        <v>55</v>
      </c>
      <c r="B54" s="18" t="s">
        <v>348</v>
      </c>
      <c r="C54" s="21">
        <v>45638</v>
      </c>
      <c r="D54" s="21">
        <v>45668</v>
      </c>
      <c r="E54" s="23">
        <f t="shared" ref="E54:E63" si="111">D54-C54</f>
        <v>30</v>
      </c>
      <c r="F54" s="23">
        <f t="shared" ref="F54:F63" si="112">30-E54</f>
        <v>0</v>
      </c>
      <c r="G54" s="19" t="str">
        <f t="shared" ref="G54:G63" ca="1" si="113">IF(TODAY()&gt;=D54,"انتهت الاجازة",IF(D54&lt;="","",""))</f>
        <v>انتهت الاجازة</v>
      </c>
    </row>
    <row r="55" spans="1:7" ht="27" thickBot="1">
      <c r="A55" s="22">
        <v>56</v>
      </c>
      <c r="B55" s="18" t="s">
        <v>348</v>
      </c>
      <c r="C55" s="21">
        <v>45638</v>
      </c>
      <c r="D55" s="21">
        <v>45668</v>
      </c>
      <c r="E55" s="23">
        <f t="shared" si="111"/>
        <v>30</v>
      </c>
      <c r="F55" s="23">
        <f t="shared" si="112"/>
        <v>0</v>
      </c>
      <c r="G55" s="19" t="str">
        <f t="shared" ca="1" si="113"/>
        <v>انتهت الاجازة</v>
      </c>
    </row>
    <row r="56" spans="1:7" ht="27" thickBot="1">
      <c r="A56" s="22">
        <v>57</v>
      </c>
      <c r="B56" s="18" t="s">
        <v>348</v>
      </c>
      <c r="C56" s="21">
        <v>45638</v>
      </c>
      <c r="D56" s="21">
        <v>45668</v>
      </c>
      <c r="E56" s="23">
        <f t="shared" si="111"/>
        <v>30</v>
      </c>
      <c r="F56" s="23">
        <f t="shared" si="112"/>
        <v>0</v>
      </c>
      <c r="G56" s="19" t="str">
        <f t="shared" ca="1" si="113"/>
        <v>انتهت الاجازة</v>
      </c>
    </row>
    <row r="57" spans="1:7" ht="27" thickBot="1">
      <c r="A57" s="22">
        <v>58</v>
      </c>
      <c r="B57" s="18" t="s">
        <v>348</v>
      </c>
      <c r="C57" s="21">
        <v>45638</v>
      </c>
      <c r="D57" s="21">
        <v>45668</v>
      </c>
      <c r="E57" s="23">
        <f t="shared" si="111"/>
        <v>30</v>
      </c>
      <c r="F57" s="23">
        <f t="shared" si="112"/>
        <v>0</v>
      </c>
      <c r="G57" s="19" t="str">
        <f t="shared" ca="1" si="113"/>
        <v>انتهت الاجازة</v>
      </c>
    </row>
    <row r="58" spans="1:7" ht="27" thickBot="1">
      <c r="A58" s="22">
        <v>59</v>
      </c>
      <c r="B58" s="18" t="s">
        <v>348</v>
      </c>
      <c r="C58" s="21">
        <v>45638</v>
      </c>
      <c r="D58" s="21">
        <v>45668</v>
      </c>
      <c r="E58" s="23">
        <f t="shared" si="111"/>
        <v>30</v>
      </c>
      <c r="F58" s="23">
        <f t="shared" si="112"/>
        <v>0</v>
      </c>
      <c r="G58" s="19" t="str">
        <f t="shared" ca="1" si="113"/>
        <v>انتهت الاجازة</v>
      </c>
    </row>
    <row r="59" spans="1:7" ht="27" thickBot="1">
      <c r="A59" s="22">
        <v>60</v>
      </c>
      <c r="B59" s="18" t="s">
        <v>348</v>
      </c>
      <c r="C59" s="21">
        <v>45638</v>
      </c>
      <c r="D59" s="21">
        <v>45668</v>
      </c>
      <c r="E59" s="23">
        <f t="shared" si="111"/>
        <v>30</v>
      </c>
      <c r="F59" s="23">
        <f t="shared" si="112"/>
        <v>0</v>
      </c>
      <c r="G59" s="19" t="str">
        <f t="shared" ca="1" si="113"/>
        <v>انتهت الاجازة</v>
      </c>
    </row>
    <row r="60" spans="1:7" ht="27" thickBot="1">
      <c r="A60" s="22">
        <v>61</v>
      </c>
      <c r="B60" s="18" t="s">
        <v>348</v>
      </c>
      <c r="C60" s="21">
        <v>45638</v>
      </c>
      <c r="D60" s="21">
        <v>45668</v>
      </c>
      <c r="E60" s="23">
        <f t="shared" si="111"/>
        <v>30</v>
      </c>
      <c r="F60" s="23">
        <f t="shared" si="112"/>
        <v>0</v>
      </c>
      <c r="G60" s="19" t="str">
        <f t="shared" ca="1" si="113"/>
        <v>انتهت الاجازة</v>
      </c>
    </row>
    <row r="61" spans="1:7" ht="27" thickBot="1">
      <c r="A61" s="22">
        <v>62</v>
      </c>
      <c r="B61" s="18" t="s">
        <v>348</v>
      </c>
      <c r="C61" s="21">
        <v>45638</v>
      </c>
      <c r="D61" s="21">
        <v>45668</v>
      </c>
      <c r="E61" s="23">
        <f t="shared" si="111"/>
        <v>30</v>
      </c>
      <c r="F61" s="23">
        <f t="shared" si="112"/>
        <v>0</v>
      </c>
      <c r="G61" s="19" t="str">
        <f t="shared" ca="1" si="113"/>
        <v>انتهت الاجازة</v>
      </c>
    </row>
    <row r="62" spans="1:7" ht="27" thickBot="1">
      <c r="A62" s="22">
        <v>63</v>
      </c>
      <c r="B62" s="18" t="s">
        <v>348</v>
      </c>
      <c r="C62" s="21">
        <v>45638</v>
      </c>
      <c r="D62" s="21">
        <v>45668</v>
      </c>
      <c r="E62" s="23">
        <f t="shared" si="111"/>
        <v>30</v>
      </c>
      <c r="F62" s="23">
        <f t="shared" si="112"/>
        <v>0</v>
      </c>
      <c r="G62" s="19" t="str">
        <f t="shared" ca="1" si="113"/>
        <v>انتهت الاجازة</v>
      </c>
    </row>
    <row r="63" spans="1:7" ht="27" thickBot="1">
      <c r="A63" s="22">
        <v>64</v>
      </c>
      <c r="B63" s="18" t="s">
        <v>348</v>
      </c>
      <c r="C63" s="21">
        <v>45638</v>
      </c>
      <c r="D63" s="21">
        <v>45668</v>
      </c>
      <c r="E63" s="23">
        <f t="shared" si="111"/>
        <v>30</v>
      </c>
      <c r="F63" s="23">
        <f t="shared" si="112"/>
        <v>0</v>
      </c>
      <c r="G63" s="19" t="str">
        <f t="shared" ca="1" si="113"/>
        <v>انتهت الاجازة</v>
      </c>
    </row>
  </sheetData>
  <conditionalFormatting sqref="A2:A63 E2:E63">
    <cfRule type="expression" dxfId="4" priority="1">
      <formula>$E2&lt;2</formula>
    </cfRule>
    <cfRule type="cellIs" dxfId="3" priority="2" operator="equal">
      <formula>16</formula>
    </cfRule>
    <cfRule type="expression" dxfId="2" priority="3">
      <formula>$E2=1</formula>
    </cfRule>
  </conditionalFormatting>
  <conditionalFormatting sqref="D2">
    <cfRule type="expression" dxfId="1" priority="7">
      <formula>"if $E$2:$E$71=1 "</formula>
    </cfRule>
  </conditionalFormatting>
  <conditionalFormatting sqref="H1 G1:G1048576 H42">
    <cfRule type="containsText" dxfId="0" priority="4" operator="containsText" text="انتهت الاجازة">
      <formula>NOT(ISERROR(SEARCH("انتهت الاجازة",G1)))</formula>
    </cfRule>
  </conditionalFormatting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الحضور والانصراف (2)</vt:lpstr>
      <vt:lpstr>القوة حسب المسمى </vt:lpstr>
      <vt:lpstr>توزيعات القوة</vt:lpstr>
      <vt:lpstr>تنبيه_العقود</vt:lpstr>
      <vt:lpstr>السجل</vt:lpstr>
      <vt:lpstr>الرئيسية</vt:lpstr>
      <vt:lpstr>الحذف</vt:lpstr>
      <vt:lpstr>التوزيعات بالعمل</vt:lpstr>
      <vt:lpstr>التوزيعات</vt:lpstr>
      <vt:lpstr>متابعة الاجازات</vt:lpstr>
      <vt:lpstr>التوزيعات!Print_Area</vt:lpstr>
      <vt:lpstr>'التوزيعات بالعمل'!Print_Area</vt:lpstr>
      <vt:lpstr>'الحضور والانصراف (2)'!Print_Area</vt:lpstr>
      <vt:lpstr>السجل!Print_Area</vt:lpstr>
      <vt:lpstr>'توزيعات القوة'!Print_Area</vt:lpstr>
      <vt:lpstr>'متابعة الاجازات'!Print_Area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liveisshort</dc:creator>
  <cp:lastModifiedBy>mutasim atia</cp:lastModifiedBy>
  <cp:lastPrinted>2026-04-12T12:30:40Z</cp:lastPrinted>
  <dcterms:created xsi:type="dcterms:W3CDTF">2015-06-05T18:17:20Z</dcterms:created>
  <dcterms:modified xsi:type="dcterms:W3CDTF">2026-05-05T23:10:22Z</dcterms:modified>
</cp:coreProperties>
</file>